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F5EC733-3E08-4289-B6EE-A7BC06BC0FB4}" xr6:coauthVersionLast="47" xr6:coauthVersionMax="47" xr10:uidLastSave="{00000000-0000-0000-0000-000000000000}"/>
  <bookViews>
    <workbookView xWindow="-120" yWindow="-120" windowWidth="20730" windowHeight="11040" xr2:uid="{00000000-000D-0000-FFFF-FFFF00000000}"/>
  </bookViews>
  <sheets>
    <sheet name="Pivot tables" sheetId="5" r:id="rId1"/>
    <sheet name="retail_sales_records" sheetId="1" r:id="rId2"/>
    <sheet name="Dashboard" sheetId="3" r:id="rId3"/>
  </sheets>
  <definedNames>
    <definedName name="Sales_Amt">'Pivot tables'!$C$4</definedName>
    <definedName name="Slicer_Month_name">#N/A</definedName>
    <definedName name="Total_products">'Pivot tables'!$H$6</definedName>
  </definedNames>
  <calcPr calcId="18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AB10" i="5" l="1"/>
  <c r="Z10" i="5"/>
  <c r="Z11" i="5" s="1"/>
  <c r="BI20" i="5"/>
  <c r="BI19" i="5"/>
  <c r="BJ19" i="5" s="1"/>
  <c r="BI18" i="5"/>
  <c r="BH4" i="5"/>
  <c r="BI4" i="5" s="1"/>
  <c r="BH5" i="5"/>
  <c r="BJ5" i="5" s="1"/>
  <c r="BH6" i="5"/>
  <c r="BI6" i="5" s="1"/>
  <c r="BH7" i="5"/>
  <c r="BJ7" i="5" s="1"/>
  <c r="BH8" i="5"/>
  <c r="BI8" i="5" s="1"/>
  <c r="BH9" i="5"/>
  <c r="BJ9" i="5" s="1"/>
  <c r="BH10" i="5"/>
  <c r="BJ10" i="5" s="1"/>
  <c r="BH11" i="5"/>
  <c r="BI11" i="5" s="1"/>
  <c r="BH12" i="5"/>
  <c r="BJ12" i="5" s="1"/>
  <c r="BH13" i="5"/>
  <c r="BI13" i="5" s="1"/>
  <c r="BH14" i="5"/>
  <c r="BI14" i="5" s="1"/>
  <c r="BH15" i="5"/>
  <c r="BI15" i="5" s="1"/>
  <c r="BG4" i="5"/>
  <c r="BG5" i="5"/>
  <c r="BG6" i="5"/>
  <c r="BG7" i="5"/>
  <c r="BG8" i="5"/>
  <c r="BG9" i="5"/>
  <c r="BG10" i="5"/>
  <c r="BG11" i="5"/>
  <c r="BG12" i="5"/>
  <c r="BG13" i="5"/>
  <c r="BG14" i="5"/>
  <c r="BG15" i="5"/>
  <c r="BH3" i="5"/>
  <c r="BG3" i="5"/>
  <c r="BE5" i="5"/>
  <c r="BE6" i="5"/>
  <c r="BE7" i="5"/>
  <c r="BE8" i="5"/>
  <c r="BE9" i="5"/>
  <c r="BE10" i="5"/>
  <c r="BE11" i="5"/>
  <c r="BE12" i="5"/>
  <c r="BE13" i="5"/>
  <c r="BE14" i="5"/>
  <c r="BE15" i="5"/>
  <c r="BE4" i="5"/>
  <c r="AW14" i="5"/>
  <c r="AW17" i="5" s="1"/>
  <c r="AW13" i="5"/>
  <c r="AW16" i="5" s="1"/>
  <c r="AU5" i="5"/>
  <c r="AU6" i="5"/>
  <c r="AU7" i="5"/>
  <c r="AU8" i="5"/>
  <c r="AU9" i="5"/>
  <c r="AU10" i="5"/>
  <c r="AU4" i="5"/>
  <c r="AX4" i="5"/>
  <c r="AX5" i="5"/>
  <c r="AX6" i="5"/>
  <c r="AX7" i="5"/>
  <c r="AX8" i="5"/>
  <c r="AX9" i="5"/>
  <c r="AX10" i="5"/>
  <c r="AW4" i="5"/>
  <c r="AW5" i="5"/>
  <c r="AW6" i="5"/>
  <c r="AW7" i="5"/>
  <c r="AW8" i="5"/>
  <c r="AW9" i="5"/>
  <c r="AW10" i="5"/>
  <c r="AX3" i="5"/>
  <c r="AW3" i="5"/>
  <c r="I36" i="1"/>
  <c r="K2" i="1"/>
  <c r="L2"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K252" i="1"/>
  <c r="L252" i="1" s="1"/>
  <c r="K253" i="1"/>
  <c r="L253" i="1" s="1"/>
  <c r="K254" i="1"/>
  <c r="L254" i="1" s="1"/>
  <c r="K255" i="1"/>
  <c r="L255" i="1" s="1"/>
  <c r="K256" i="1"/>
  <c r="L256" i="1" s="1"/>
  <c r="K257" i="1"/>
  <c r="L257" i="1" s="1"/>
  <c r="K258" i="1"/>
  <c r="L258" i="1" s="1"/>
  <c r="K259" i="1"/>
  <c r="L259" i="1" s="1"/>
  <c r="K260" i="1"/>
  <c r="L260" i="1" s="1"/>
  <c r="K261" i="1"/>
  <c r="L261" i="1" s="1"/>
  <c r="K262" i="1"/>
  <c r="L262" i="1" s="1"/>
  <c r="K263" i="1"/>
  <c r="L263" i="1" s="1"/>
  <c r="K264" i="1"/>
  <c r="L264" i="1" s="1"/>
  <c r="K265" i="1"/>
  <c r="L265" i="1" s="1"/>
  <c r="K266" i="1"/>
  <c r="L266" i="1" s="1"/>
  <c r="K267" i="1"/>
  <c r="L267" i="1" s="1"/>
  <c r="K268" i="1"/>
  <c r="L268" i="1" s="1"/>
  <c r="K269" i="1"/>
  <c r="L269" i="1" s="1"/>
  <c r="K270" i="1"/>
  <c r="L270" i="1" s="1"/>
  <c r="K271" i="1"/>
  <c r="L271" i="1" s="1"/>
  <c r="K272" i="1"/>
  <c r="L272" i="1" s="1"/>
  <c r="K273" i="1"/>
  <c r="L273" i="1" s="1"/>
  <c r="K274" i="1"/>
  <c r="L274" i="1" s="1"/>
  <c r="K275" i="1"/>
  <c r="L275" i="1" s="1"/>
  <c r="K276" i="1"/>
  <c r="L276" i="1" s="1"/>
  <c r="K277" i="1"/>
  <c r="L277" i="1" s="1"/>
  <c r="K278" i="1"/>
  <c r="L278" i="1" s="1"/>
  <c r="K279" i="1"/>
  <c r="L279" i="1" s="1"/>
  <c r="K280" i="1"/>
  <c r="L280" i="1" s="1"/>
  <c r="K281" i="1"/>
  <c r="L281" i="1" s="1"/>
  <c r="K282" i="1"/>
  <c r="L282" i="1" s="1"/>
  <c r="K283" i="1"/>
  <c r="L283" i="1" s="1"/>
  <c r="K284" i="1"/>
  <c r="L284" i="1" s="1"/>
  <c r="K285" i="1"/>
  <c r="L285" i="1" s="1"/>
  <c r="K286" i="1"/>
  <c r="L286" i="1" s="1"/>
  <c r="K287" i="1"/>
  <c r="L287" i="1" s="1"/>
  <c r="K288" i="1"/>
  <c r="L288" i="1" s="1"/>
  <c r="K289" i="1"/>
  <c r="L289" i="1" s="1"/>
  <c r="K290" i="1"/>
  <c r="L290" i="1" s="1"/>
  <c r="K291" i="1"/>
  <c r="L291" i="1" s="1"/>
  <c r="K292" i="1"/>
  <c r="L292" i="1" s="1"/>
  <c r="K293" i="1"/>
  <c r="L293" i="1" s="1"/>
  <c r="K294" i="1"/>
  <c r="L294" i="1" s="1"/>
  <c r="K295" i="1"/>
  <c r="L295" i="1" s="1"/>
  <c r="K296" i="1"/>
  <c r="L296" i="1" s="1"/>
  <c r="K297" i="1"/>
  <c r="L297" i="1" s="1"/>
  <c r="K298" i="1"/>
  <c r="L298" i="1" s="1"/>
  <c r="K299" i="1"/>
  <c r="L299" i="1" s="1"/>
  <c r="K300" i="1"/>
  <c r="L300" i="1" s="1"/>
  <c r="K301" i="1"/>
  <c r="L301" i="1" s="1"/>
  <c r="K302" i="1"/>
  <c r="L302" i="1" s="1"/>
  <c r="K303" i="1"/>
  <c r="L303" i="1" s="1"/>
  <c r="K304" i="1"/>
  <c r="L304" i="1" s="1"/>
  <c r="K305" i="1"/>
  <c r="L305" i="1" s="1"/>
  <c r="K306" i="1"/>
  <c r="L306" i="1" s="1"/>
  <c r="K307" i="1"/>
  <c r="L307" i="1" s="1"/>
  <c r="K308" i="1"/>
  <c r="L308" i="1" s="1"/>
  <c r="K309" i="1"/>
  <c r="L309" i="1" s="1"/>
  <c r="K310" i="1"/>
  <c r="L310" i="1" s="1"/>
  <c r="K311" i="1"/>
  <c r="L311" i="1" s="1"/>
  <c r="K312" i="1"/>
  <c r="L312" i="1" s="1"/>
  <c r="K313" i="1"/>
  <c r="L313" i="1" s="1"/>
  <c r="K314" i="1"/>
  <c r="L314" i="1" s="1"/>
  <c r="K315" i="1"/>
  <c r="L315" i="1" s="1"/>
  <c r="K316" i="1"/>
  <c r="L316" i="1" s="1"/>
  <c r="K317" i="1"/>
  <c r="L317" i="1" s="1"/>
  <c r="K318" i="1"/>
  <c r="L318" i="1" s="1"/>
  <c r="K319" i="1"/>
  <c r="L319" i="1" s="1"/>
  <c r="K320" i="1"/>
  <c r="L320" i="1" s="1"/>
  <c r="K321" i="1"/>
  <c r="L321" i="1" s="1"/>
  <c r="K322" i="1"/>
  <c r="L322" i="1" s="1"/>
  <c r="K323" i="1"/>
  <c r="L323" i="1" s="1"/>
  <c r="K324" i="1"/>
  <c r="L324" i="1" s="1"/>
  <c r="K325" i="1"/>
  <c r="L325" i="1" s="1"/>
  <c r="K326" i="1"/>
  <c r="L326" i="1" s="1"/>
  <c r="K327" i="1"/>
  <c r="L327" i="1" s="1"/>
  <c r="K328" i="1"/>
  <c r="L328" i="1" s="1"/>
  <c r="K329" i="1"/>
  <c r="L329" i="1" s="1"/>
  <c r="K330" i="1"/>
  <c r="L330" i="1" s="1"/>
  <c r="K331" i="1"/>
  <c r="L331" i="1" s="1"/>
  <c r="K332" i="1"/>
  <c r="L332" i="1" s="1"/>
  <c r="K333" i="1"/>
  <c r="L333" i="1" s="1"/>
  <c r="K334" i="1"/>
  <c r="L334" i="1" s="1"/>
  <c r="K335" i="1"/>
  <c r="L335" i="1" s="1"/>
  <c r="K336" i="1"/>
  <c r="L336" i="1" s="1"/>
  <c r="K337" i="1"/>
  <c r="L337" i="1" s="1"/>
  <c r="K338" i="1"/>
  <c r="L338" i="1" s="1"/>
  <c r="K339" i="1"/>
  <c r="L339" i="1" s="1"/>
  <c r="K340" i="1"/>
  <c r="L340" i="1" s="1"/>
  <c r="K341" i="1"/>
  <c r="L341" i="1" s="1"/>
  <c r="K342" i="1"/>
  <c r="L342" i="1" s="1"/>
  <c r="K343" i="1"/>
  <c r="L343" i="1" s="1"/>
  <c r="K344" i="1"/>
  <c r="L344" i="1" s="1"/>
  <c r="K345" i="1"/>
  <c r="L345" i="1" s="1"/>
  <c r="K346" i="1"/>
  <c r="L346" i="1" s="1"/>
  <c r="K347" i="1"/>
  <c r="L347" i="1" s="1"/>
  <c r="K348" i="1"/>
  <c r="L348" i="1" s="1"/>
  <c r="K349" i="1"/>
  <c r="L349" i="1" s="1"/>
  <c r="K350" i="1"/>
  <c r="L350" i="1" s="1"/>
  <c r="K351" i="1"/>
  <c r="L351" i="1" s="1"/>
  <c r="K352" i="1"/>
  <c r="L352" i="1" s="1"/>
  <c r="K353" i="1"/>
  <c r="L353" i="1" s="1"/>
  <c r="K354" i="1"/>
  <c r="L354" i="1" s="1"/>
  <c r="K355" i="1"/>
  <c r="L355" i="1" s="1"/>
  <c r="K356" i="1"/>
  <c r="L356" i="1" s="1"/>
  <c r="K357" i="1"/>
  <c r="L357" i="1" s="1"/>
  <c r="K358" i="1"/>
  <c r="L358" i="1" s="1"/>
  <c r="K359" i="1"/>
  <c r="L359" i="1" s="1"/>
  <c r="K360" i="1"/>
  <c r="L360" i="1" s="1"/>
  <c r="K361" i="1"/>
  <c r="L361" i="1" s="1"/>
  <c r="K362" i="1"/>
  <c r="L362" i="1" s="1"/>
  <c r="K363" i="1"/>
  <c r="L363" i="1" s="1"/>
  <c r="K364" i="1"/>
  <c r="L364" i="1" s="1"/>
  <c r="K365" i="1"/>
  <c r="L365" i="1" s="1"/>
  <c r="K366" i="1"/>
  <c r="L366" i="1" s="1"/>
  <c r="K367" i="1"/>
  <c r="L367" i="1" s="1"/>
  <c r="K368" i="1"/>
  <c r="L368" i="1" s="1"/>
  <c r="K369" i="1"/>
  <c r="L369" i="1" s="1"/>
  <c r="K370" i="1"/>
  <c r="L370" i="1" s="1"/>
  <c r="K371" i="1"/>
  <c r="L371" i="1" s="1"/>
  <c r="K372" i="1"/>
  <c r="L372" i="1" s="1"/>
  <c r="K373" i="1"/>
  <c r="L373" i="1" s="1"/>
  <c r="K374" i="1"/>
  <c r="L374" i="1" s="1"/>
  <c r="K375" i="1"/>
  <c r="L375" i="1" s="1"/>
  <c r="K376" i="1"/>
  <c r="L376" i="1" s="1"/>
  <c r="K377" i="1"/>
  <c r="L377" i="1" s="1"/>
  <c r="K378" i="1"/>
  <c r="L378" i="1" s="1"/>
  <c r="K379" i="1"/>
  <c r="L379" i="1" s="1"/>
  <c r="K380" i="1"/>
  <c r="L380" i="1" s="1"/>
  <c r="K381" i="1"/>
  <c r="L381" i="1" s="1"/>
  <c r="K382" i="1"/>
  <c r="L382" i="1" s="1"/>
  <c r="K383" i="1"/>
  <c r="L383" i="1" s="1"/>
  <c r="K384" i="1"/>
  <c r="L384" i="1" s="1"/>
  <c r="K385" i="1"/>
  <c r="L385" i="1" s="1"/>
  <c r="K386" i="1"/>
  <c r="L386" i="1" s="1"/>
  <c r="K387" i="1"/>
  <c r="L387" i="1" s="1"/>
  <c r="K388" i="1"/>
  <c r="L388" i="1" s="1"/>
  <c r="K389" i="1"/>
  <c r="L389" i="1" s="1"/>
  <c r="K390" i="1"/>
  <c r="L390" i="1" s="1"/>
  <c r="K391" i="1"/>
  <c r="L391" i="1" s="1"/>
  <c r="K392" i="1"/>
  <c r="L392" i="1" s="1"/>
  <c r="K393" i="1"/>
  <c r="L393" i="1" s="1"/>
  <c r="K394" i="1"/>
  <c r="L394" i="1" s="1"/>
  <c r="K395" i="1"/>
  <c r="L395" i="1" s="1"/>
  <c r="K396" i="1"/>
  <c r="L396" i="1" s="1"/>
  <c r="K397" i="1"/>
  <c r="L397" i="1" s="1"/>
  <c r="K398" i="1"/>
  <c r="L398" i="1" s="1"/>
  <c r="K399" i="1"/>
  <c r="L399" i="1" s="1"/>
  <c r="K400" i="1"/>
  <c r="L400" i="1" s="1"/>
  <c r="K401" i="1"/>
  <c r="L401" i="1" s="1"/>
  <c r="K402" i="1"/>
  <c r="L402" i="1" s="1"/>
  <c r="K403" i="1"/>
  <c r="L403" i="1" s="1"/>
  <c r="K404" i="1"/>
  <c r="L404" i="1" s="1"/>
  <c r="K405" i="1"/>
  <c r="L405" i="1" s="1"/>
  <c r="K406" i="1"/>
  <c r="L406" i="1" s="1"/>
  <c r="K407" i="1"/>
  <c r="L407" i="1" s="1"/>
  <c r="K408" i="1"/>
  <c r="L408" i="1" s="1"/>
  <c r="K409" i="1"/>
  <c r="L409" i="1" s="1"/>
  <c r="K410" i="1"/>
  <c r="L410" i="1" s="1"/>
  <c r="K411" i="1"/>
  <c r="L411" i="1" s="1"/>
  <c r="K412" i="1"/>
  <c r="L412" i="1" s="1"/>
  <c r="K413" i="1"/>
  <c r="L413" i="1" s="1"/>
  <c r="K414" i="1"/>
  <c r="L414" i="1" s="1"/>
  <c r="K415" i="1"/>
  <c r="L415" i="1" s="1"/>
  <c r="K416" i="1"/>
  <c r="L416" i="1" s="1"/>
  <c r="K417" i="1"/>
  <c r="L417" i="1" s="1"/>
  <c r="K418" i="1"/>
  <c r="L418" i="1" s="1"/>
  <c r="K419" i="1"/>
  <c r="L419" i="1" s="1"/>
  <c r="K420" i="1"/>
  <c r="L420" i="1" s="1"/>
  <c r="K421" i="1"/>
  <c r="L421" i="1" s="1"/>
  <c r="K422" i="1"/>
  <c r="L422" i="1" s="1"/>
  <c r="K423" i="1"/>
  <c r="L423" i="1" s="1"/>
  <c r="K424" i="1"/>
  <c r="L424" i="1" s="1"/>
  <c r="K425" i="1"/>
  <c r="L425" i="1" s="1"/>
  <c r="K426" i="1"/>
  <c r="L426" i="1" s="1"/>
  <c r="K427" i="1"/>
  <c r="L427" i="1" s="1"/>
  <c r="K428" i="1"/>
  <c r="L428" i="1" s="1"/>
  <c r="K429" i="1"/>
  <c r="L429" i="1" s="1"/>
  <c r="K430" i="1"/>
  <c r="L430" i="1" s="1"/>
  <c r="K431" i="1"/>
  <c r="L431" i="1" s="1"/>
  <c r="K432" i="1"/>
  <c r="L432" i="1" s="1"/>
  <c r="K433" i="1"/>
  <c r="L433" i="1" s="1"/>
  <c r="K434" i="1"/>
  <c r="L434" i="1" s="1"/>
  <c r="K435" i="1"/>
  <c r="L435" i="1" s="1"/>
  <c r="K436" i="1"/>
  <c r="L436" i="1" s="1"/>
  <c r="K437" i="1"/>
  <c r="L437" i="1" s="1"/>
  <c r="K438" i="1"/>
  <c r="L438" i="1" s="1"/>
  <c r="K439" i="1"/>
  <c r="L439" i="1" s="1"/>
  <c r="K440" i="1"/>
  <c r="L440" i="1" s="1"/>
  <c r="K441" i="1"/>
  <c r="L441" i="1" s="1"/>
  <c r="K442" i="1"/>
  <c r="L442" i="1" s="1"/>
  <c r="K443" i="1"/>
  <c r="L443" i="1" s="1"/>
  <c r="K444" i="1"/>
  <c r="L444" i="1" s="1"/>
  <c r="K445" i="1"/>
  <c r="L445" i="1" s="1"/>
  <c r="K446" i="1"/>
  <c r="L446" i="1" s="1"/>
  <c r="K447" i="1"/>
  <c r="L447" i="1" s="1"/>
  <c r="K448" i="1"/>
  <c r="L448" i="1" s="1"/>
  <c r="K449" i="1"/>
  <c r="L449" i="1" s="1"/>
  <c r="K450" i="1"/>
  <c r="L450" i="1" s="1"/>
  <c r="K451" i="1"/>
  <c r="L451" i="1" s="1"/>
  <c r="K452" i="1"/>
  <c r="L452" i="1" s="1"/>
  <c r="K453" i="1"/>
  <c r="L453" i="1" s="1"/>
  <c r="K454" i="1"/>
  <c r="L454" i="1" s="1"/>
  <c r="K455" i="1"/>
  <c r="L455" i="1" s="1"/>
  <c r="K456" i="1"/>
  <c r="L456" i="1" s="1"/>
  <c r="K457" i="1"/>
  <c r="L457" i="1" s="1"/>
  <c r="K458" i="1"/>
  <c r="L458" i="1" s="1"/>
  <c r="K459" i="1"/>
  <c r="L459" i="1" s="1"/>
  <c r="K460" i="1"/>
  <c r="L460" i="1" s="1"/>
  <c r="K461" i="1"/>
  <c r="L461" i="1" s="1"/>
  <c r="K462" i="1"/>
  <c r="L462" i="1" s="1"/>
  <c r="K463" i="1"/>
  <c r="L463" i="1" s="1"/>
  <c r="K464" i="1"/>
  <c r="L464" i="1" s="1"/>
  <c r="K465" i="1"/>
  <c r="L465" i="1" s="1"/>
  <c r="K466" i="1"/>
  <c r="L466" i="1" s="1"/>
  <c r="K467" i="1"/>
  <c r="L467" i="1" s="1"/>
  <c r="K468" i="1"/>
  <c r="L468" i="1" s="1"/>
  <c r="K469" i="1"/>
  <c r="L469" i="1" s="1"/>
  <c r="K470" i="1"/>
  <c r="L470" i="1" s="1"/>
  <c r="K471" i="1"/>
  <c r="L471" i="1" s="1"/>
  <c r="K472" i="1"/>
  <c r="L472" i="1" s="1"/>
  <c r="K473" i="1"/>
  <c r="L473" i="1" s="1"/>
  <c r="K474" i="1"/>
  <c r="L474" i="1" s="1"/>
  <c r="K475" i="1"/>
  <c r="L475" i="1" s="1"/>
  <c r="K476" i="1"/>
  <c r="L476" i="1" s="1"/>
  <c r="K477" i="1"/>
  <c r="L477" i="1" s="1"/>
  <c r="K478" i="1"/>
  <c r="L478" i="1" s="1"/>
  <c r="K479" i="1"/>
  <c r="L479" i="1" s="1"/>
  <c r="K480" i="1"/>
  <c r="L480" i="1" s="1"/>
  <c r="K481" i="1"/>
  <c r="L481" i="1" s="1"/>
  <c r="K482" i="1"/>
  <c r="L482" i="1" s="1"/>
  <c r="K483" i="1"/>
  <c r="L483" i="1" s="1"/>
  <c r="K484" i="1"/>
  <c r="L484" i="1" s="1"/>
  <c r="K485" i="1"/>
  <c r="L485" i="1" s="1"/>
  <c r="K486" i="1"/>
  <c r="L486" i="1" s="1"/>
  <c r="K487" i="1"/>
  <c r="L487" i="1" s="1"/>
  <c r="K488" i="1"/>
  <c r="L488" i="1" s="1"/>
  <c r="K489" i="1"/>
  <c r="L489" i="1" s="1"/>
  <c r="K490" i="1"/>
  <c r="L490" i="1" s="1"/>
  <c r="K491" i="1"/>
  <c r="L491" i="1" s="1"/>
  <c r="K492" i="1"/>
  <c r="L492" i="1" s="1"/>
  <c r="K493" i="1"/>
  <c r="L493" i="1" s="1"/>
  <c r="K494" i="1"/>
  <c r="L494" i="1" s="1"/>
  <c r="K495" i="1"/>
  <c r="L495" i="1" s="1"/>
  <c r="K496" i="1"/>
  <c r="L496" i="1" s="1"/>
  <c r="K497" i="1"/>
  <c r="L497" i="1" s="1"/>
  <c r="K498" i="1"/>
  <c r="L498" i="1" s="1"/>
  <c r="K499" i="1"/>
  <c r="L499" i="1" s="1"/>
  <c r="K500" i="1"/>
  <c r="L500" i="1" s="1"/>
  <c r="K501" i="1"/>
  <c r="L501" i="1" s="1"/>
  <c r="K502" i="1"/>
  <c r="L502" i="1" s="1"/>
  <c r="K503" i="1"/>
  <c r="L503" i="1" s="1"/>
  <c r="K504" i="1"/>
  <c r="L504" i="1" s="1"/>
  <c r="K505" i="1"/>
  <c r="L505" i="1" s="1"/>
  <c r="K506" i="1"/>
  <c r="L506" i="1" s="1"/>
  <c r="K507" i="1"/>
  <c r="L507" i="1" s="1"/>
  <c r="K508" i="1"/>
  <c r="L508" i="1" s="1"/>
  <c r="K509" i="1"/>
  <c r="L509" i="1" s="1"/>
  <c r="K510" i="1"/>
  <c r="L510" i="1" s="1"/>
  <c r="K511" i="1"/>
  <c r="L511" i="1" s="1"/>
  <c r="K512" i="1"/>
  <c r="L512" i="1" s="1"/>
  <c r="K513" i="1"/>
  <c r="L513" i="1" s="1"/>
  <c r="K514" i="1"/>
  <c r="L514" i="1" s="1"/>
  <c r="K515" i="1"/>
  <c r="L515" i="1" s="1"/>
  <c r="K516" i="1"/>
  <c r="L516" i="1" s="1"/>
  <c r="K517" i="1"/>
  <c r="L517" i="1" s="1"/>
  <c r="K518" i="1"/>
  <c r="L518" i="1" s="1"/>
  <c r="K519" i="1"/>
  <c r="L519" i="1" s="1"/>
  <c r="K520" i="1"/>
  <c r="L520" i="1" s="1"/>
  <c r="K521" i="1"/>
  <c r="L521" i="1" s="1"/>
  <c r="K522" i="1"/>
  <c r="L522" i="1" s="1"/>
  <c r="K523" i="1"/>
  <c r="L523" i="1" s="1"/>
  <c r="K524" i="1"/>
  <c r="L524" i="1" s="1"/>
  <c r="K525" i="1"/>
  <c r="L525" i="1" s="1"/>
  <c r="K526" i="1"/>
  <c r="L526" i="1" s="1"/>
  <c r="K527" i="1"/>
  <c r="L527" i="1" s="1"/>
  <c r="K528" i="1"/>
  <c r="L528" i="1" s="1"/>
  <c r="K529" i="1"/>
  <c r="L529" i="1" s="1"/>
  <c r="K530" i="1"/>
  <c r="L530" i="1" s="1"/>
  <c r="K531" i="1"/>
  <c r="L531" i="1" s="1"/>
  <c r="K532" i="1"/>
  <c r="L532" i="1" s="1"/>
  <c r="K533" i="1"/>
  <c r="L533" i="1" s="1"/>
  <c r="K534" i="1"/>
  <c r="L534" i="1" s="1"/>
  <c r="K535" i="1"/>
  <c r="L535" i="1" s="1"/>
  <c r="K536" i="1"/>
  <c r="L536" i="1" s="1"/>
  <c r="K537" i="1"/>
  <c r="L537" i="1" s="1"/>
  <c r="K538" i="1"/>
  <c r="L538" i="1" s="1"/>
  <c r="K539" i="1"/>
  <c r="L539" i="1" s="1"/>
  <c r="K540" i="1"/>
  <c r="L540" i="1" s="1"/>
  <c r="K541" i="1"/>
  <c r="L541" i="1" s="1"/>
  <c r="K542" i="1"/>
  <c r="L542" i="1" s="1"/>
  <c r="K543" i="1"/>
  <c r="L543" i="1" s="1"/>
  <c r="K544" i="1"/>
  <c r="L544" i="1" s="1"/>
  <c r="K545" i="1"/>
  <c r="L545" i="1" s="1"/>
  <c r="K546" i="1"/>
  <c r="L546" i="1" s="1"/>
  <c r="K547" i="1"/>
  <c r="L547" i="1" s="1"/>
  <c r="K548" i="1"/>
  <c r="L548" i="1" s="1"/>
  <c r="K549" i="1"/>
  <c r="L549" i="1" s="1"/>
  <c r="K550" i="1"/>
  <c r="L550" i="1" s="1"/>
  <c r="K551" i="1"/>
  <c r="L551" i="1" s="1"/>
  <c r="K552" i="1"/>
  <c r="L552" i="1" s="1"/>
  <c r="K553" i="1"/>
  <c r="L553" i="1" s="1"/>
  <c r="K554" i="1"/>
  <c r="L554" i="1" s="1"/>
  <c r="K555" i="1"/>
  <c r="L555" i="1" s="1"/>
  <c r="K556" i="1"/>
  <c r="L556" i="1" s="1"/>
  <c r="K557" i="1"/>
  <c r="L557" i="1" s="1"/>
  <c r="K558" i="1"/>
  <c r="L558" i="1" s="1"/>
  <c r="K559" i="1"/>
  <c r="L559" i="1" s="1"/>
  <c r="K560" i="1"/>
  <c r="L560" i="1" s="1"/>
  <c r="K561" i="1"/>
  <c r="L561" i="1" s="1"/>
  <c r="K562" i="1"/>
  <c r="L562" i="1" s="1"/>
  <c r="K563" i="1"/>
  <c r="L563" i="1" s="1"/>
  <c r="K564" i="1"/>
  <c r="L564" i="1" s="1"/>
  <c r="K565" i="1"/>
  <c r="L565" i="1" s="1"/>
  <c r="K566" i="1"/>
  <c r="L566" i="1" s="1"/>
  <c r="K567" i="1"/>
  <c r="L567" i="1" s="1"/>
  <c r="K568" i="1"/>
  <c r="L568" i="1" s="1"/>
  <c r="K569" i="1"/>
  <c r="L569" i="1" s="1"/>
  <c r="K570" i="1"/>
  <c r="L570" i="1" s="1"/>
  <c r="K571" i="1"/>
  <c r="L571" i="1" s="1"/>
  <c r="K572" i="1"/>
  <c r="L572" i="1" s="1"/>
  <c r="K573" i="1"/>
  <c r="L573" i="1" s="1"/>
  <c r="K574" i="1"/>
  <c r="L574" i="1" s="1"/>
  <c r="K575" i="1"/>
  <c r="L575" i="1" s="1"/>
  <c r="K576" i="1"/>
  <c r="L576" i="1" s="1"/>
  <c r="K577" i="1"/>
  <c r="L577" i="1" s="1"/>
  <c r="K578" i="1"/>
  <c r="L578" i="1" s="1"/>
  <c r="K579" i="1"/>
  <c r="L579" i="1" s="1"/>
  <c r="K580" i="1"/>
  <c r="L580" i="1" s="1"/>
  <c r="K581" i="1"/>
  <c r="L581" i="1" s="1"/>
  <c r="K582" i="1"/>
  <c r="L582" i="1" s="1"/>
  <c r="K583" i="1"/>
  <c r="L583" i="1" s="1"/>
  <c r="K584" i="1"/>
  <c r="L584" i="1" s="1"/>
  <c r="K585" i="1"/>
  <c r="L585" i="1" s="1"/>
  <c r="K586" i="1"/>
  <c r="L586" i="1" s="1"/>
  <c r="K587" i="1"/>
  <c r="L587" i="1" s="1"/>
  <c r="K588" i="1"/>
  <c r="L588" i="1" s="1"/>
  <c r="K589" i="1"/>
  <c r="L589" i="1" s="1"/>
  <c r="K590" i="1"/>
  <c r="L590" i="1" s="1"/>
  <c r="K591" i="1"/>
  <c r="L591" i="1" s="1"/>
  <c r="K592" i="1"/>
  <c r="L592" i="1" s="1"/>
  <c r="K593" i="1"/>
  <c r="L593" i="1" s="1"/>
  <c r="K594" i="1"/>
  <c r="L594" i="1" s="1"/>
  <c r="K595" i="1"/>
  <c r="L595" i="1" s="1"/>
  <c r="K596" i="1"/>
  <c r="L596" i="1" s="1"/>
  <c r="K597" i="1"/>
  <c r="L597" i="1" s="1"/>
  <c r="K598" i="1"/>
  <c r="L598" i="1" s="1"/>
  <c r="K599" i="1"/>
  <c r="L599" i="1" s="1"/>
  <c r="K600" i="1"/>
  <c r="L600" i="1" s="1"/>
  <c r="K601" i="1"/>
  <c r="L601" i="1" s="1"/>
  <c r="K602" i="1"/>
  <c r="L602" i="1" s="1"/>
  <c r="K603" i="1"/>
  <c r="L603" i="1" s="1"/>
  <c r="K604" i="1"/>
  <c r="L604" i="1" s="1"/>
  <c r="K605" i="1"/>
  <c r="L605" i="1" s="1"/>
  <c r="K606" i="1"/>
  <c r="L606" i="1" s="1"/>
  <c r="K607" i="1"/>
  <c r="L607" i="1" s="1"/>
  <c r="K608" i="1"/>
  <c r="L608" i="1" s="1"/>
  <c r="K609" i="1"/>
  <c r="L609" i="1" s="1"/>
  <c r="K610" i="1"/>
  <c r="L610" i="1" s="1"/>
  <c r="K611" i="1"/>
  <c r="L611" i="1" s="1"/>
  <c r="K612" i="1"/>
  <c r="L612" i="1" s="1"/>
  <c r="K613" i="1"/>
  <c r="L613" i="1" s="1"/>
  <c r="K614" i="1"/>
  <c r="L614" i="1" s="1"/>
  <c r="K615" i="1"/>
  <c r="L615" i="1" s="1"/>
  <c r="K616" i="1"/>
  <c r="L616" i="1" s="1"/>
  <c r="K617" i="1"/>
  <c r="L617" i="1" s="1"/>
  <c r="K618" i="1"/>
  <c r="L618" i="1" s="1"/>
  <c r="K619" i="1"/>
  <c r="L619" i="1" s="1"/>
  <c r="K620" i="1"/>
  <c r="L620" i="1" s="1"/>
  <c r="K621" i="1"/>
  <c r="L621" i="1" s="1"/>
  <c r="K622" i="1"/>
  <c r="L622" i="1" s="1"/>
  <c r="K623" i="1"/>
  <c r="L623" i="1" s="1"/>
  <c r="K624" i="1"/>
  <c r="L624" i="1" s="1"/>
  <c r="K625" i="1"/>
  <c r="L625" i="1" s="1"/>
  <c r="K626" i="1"/>
  <c r="L626" i="1" s="1"/>
  <c r="K627" i="1"/>
  <c r="L627" i="1" s="1"/>
  <c r="K628" i="1"/>
  <c r="L628" i="1" s="1"/>
  <c r="K629" i="1"/>
  <c r="L629" i="1" s="1"/>
  <c r="K630" i="1"/>
  <c r="L630" i="1" s="1"/>
  <c r="K631" i="1"/>
  <c r="L631" i="1" s="1"/>
  <c r="K632" i="1"/>
  <c r="L632" i="1" s="1"/>
  <c r="K633" i="1"/>
  <c r="L633" i="1" s="1"/>
  <c r="K634" i="1"/>
  <c r="L634" i="1" s="1"/>
  <c r="K635" i="1"/>
  <c r="L635" i="1" s="1"/>
  <c r="K636" i="1"/>
  <c r="L636" i="1" s="1"/>
  <c r="K637" i="1"/>
  <c r="L637" i="1" s="1"/>
  <c r="K638" i="1"/>
  <c r="L638" i="1" s="1"/>
  <c r="K639" i="1"/>
  <c r="L639" i="1" s="1"/>
  <c r="K640" i="1"/>
  <c r="L640" i="1" s="1"/>
  <c r="K641" i="1"/>
  <c r="L641" i="1" s="1"/>
  <c r="K642" i="1"/>
  <c r="L642" i="1" s="1"/>
  <c r="K643" i="1"/>
  <c r="L643" i="1" s="1"/>
  <c r="K644" i="1"/>
  <c r="L644" i="1" s="1"/>
  <c r="K645" i="1"/>
  <c r="L645" i="1" s="1"/>
  <c r="K646" i="1"/>
  <c r="L646" i="1" s="1"/>
  <c r="K647" i="1"/>
  <c r="L647" i="1" s="1"/>
  <c r="K648" i="1"/>
  <c r="L648" i="1" s="1"/>
  <c r="K649" i="1"/>
  <c r="L649" i="1" s="1"/>
  <c r="K650" i="1"/>
  <c r="L650" i="1" s="1"/>
  <c r="K651" i="1"/>
  <c r="L651" i="1" s="1"/>
  <c r="K652" i="1"/>
  <c r="L652" i="1" s="1"/>
  <c r="K653" i="1"/>
  <c r="L653" i="1" s="1"/>
  <c r="K654" i="1"/>
  <c r="L654" i="1" s="1"/>
  <c r="K655" i="1"/>
  <c r="L655" i="1" s="1"/>
  <c r="K656" i="1"/>
  <c r="L656" i="1" s="1"/>
  <c r="K657" i="1"/>
  <c r="L657" i="1" s="1"/>
  <c r="K658" i="1"/>
  <c r="L658" i="1" s="1"/>
  <c r="K659" i="1"/>
  <c r="L659" i="1" s="1"/>
  <c r="K660" i="1"/>
  <c r="L660" i="1" s="1"/>
  <c r="K661" i="1"/>
  <c r="L661" i="1" s="1"/>
  <c r="K662" i="1"/>
  <c r="L662" i="1" s="1"/>
  <c r="K663" i="1"/>
  <c r="L663" i="1" s="1"/>
  <c r="K664" i="1"/>
  <c r="L664" i="1" s="1"/>
  <c r="K665" i="1"/>
  <c r="L665" i="1" s="1"/>
  <c r="K666" i="1"/>
  <c r="L666" i="1" s="1"/>
  <c r="K667" i="1"/>
  <c r="L667" i="1" s="1"/>
  <c r="K668" i="1"/>
  <c r="L668" i="1" s="1"/>
  <c r="K669" i="1"/>
  <c r="L669" i="1" s="1"/>
  <c r="K670" i="1"/>
  <c r="L670" i="1" s="1"/>
  <c r="K671" i="1"/>
  <c r="L671" i="1" s="1"/>
  <c r="K672" i="1"/>
  <c r="L672" i="1" s="1"/>
  <c r="K673" i="1"/>
  <c r="L673" i="1" s="1"/>
  <c r="K674" i="1"/>
  <c r="L674" i="1" s="1"/>
  <c r="K675" i="1"/>
  <c r="L675" i="1" s="1"/>
  <c r="K676" i="1"/>
  <c r="L676" i="1" s="1"/>
  <c r="K677" i="1"/>
  <c r="L677" i="1" s="1"/>
  <c r="K678" i="1"/>
  <c r="L678" i="1" s="1"/>
  <c r="K679" i="1"/>
  <c r="L679" i="1" s="1"/>
  <c r="K680" i="1"/>
  <c r="L680" i="1" s="1"/>
  <c r="K681" i="1"/>
  <c r="L681" i="1" s="1"/>
  <c r="K682" i="1"/>
  <c r="L682" i="1" s="1"/>
  <c r="K683" i="1"/>
  <c r="L683" i="1" s="1"/>
  <c r="K684" i="1"/>
  <c r="L684" i="1" s="1"/>
  <c r="K685" i="1"/>
  <c r="L685" i="1" s="1"/>
  <c r="K686" i="1"/>
  <c r="L686" i="1" s="1"/>
  <c r="K687" i="1"/>
  <c r="L687" i="1" s="1"/>
  <c r="K688" i="1"/>
  <c r="L688" i="1" s="1"/>
  <c r="K689" i="1"/>
  <c r="L689" i="1" s="1"/>
  <c r="K690" i="1"/>
  <c r="L690" i="1" s="1"/>
  <c r="K691" i="1"/>
  <c r="L691" i="1" s="1"/>
  <c r="K692" i="1"/>
  <c r="L692" i="1" s="1"/>
  <c r="K693" i="1"/>
  <c r="L693" i="1" s="1"/>
  <c r="K694" i="1"/>
  <c r="L694" i="1" s="1"/>
  <c r="K695" i="1"/>
  <c r="L695" i="1" s="1"/>
  <c r="K696" i="1"/>
  <c r="L696" i="1" s="1"/>
  <c r="K697" i="1"/>
  <c r="L697" i="1" s="1"/>
  <c r="K698" i="1"/>
  <c r="L698" i="1" s="1"/>
  <c r="K699" i="1"/>
  <c r="L699" i="1" s="1"/>
  <c r="K700" i="1"/>
  <c r="L700" i="1" s="1"/>
  <c r="K701" i="1"/>
  <c r="L701" i="1" s="1"/>
  <c r="K702" i="1"/>
  <c r="L702" i="1" s="1"/>
  <c r="K703" i="1"/>
  <c r="L703" i="1" s="1"/>
  <c r="K704" i="1"/>
  <c r="L704" i="1" s="1"/>
  <c r="K705" i="1"/>
  <c r="L705" i="1" s="1"/>
  <c r="K706" i="1"/>
  <c r="L706" i="1" s="1"/>
  <c r="K707" i="1"/>
  <c r="L707" i="1" s="1"/>
  <c r="K708" i="1"/>
  <c r="L708" i="1" s="1"/>
  <c r="K709" i="1"/>
  <c r="L709" i="1" s="1"/>
  <c r="K710" i="1"/>
  <c r="L710" i="1" s="1"/>
  <c r="K711" i="1"/>
  <c r="L711" i="1" s="1"/>
  <c r="K712" i="1"/>
  <c r="L712" i="1" s="1"/>
  <c r="K713" i="1"/>
  <c r="L713" i="1" s="1"/>
  <c r="K714" i="1"/>
  <c r="L714" i="1" s="1"/>
  <c r="K715" i="1"/>
  <c r="L715" i="1" s="1"/>
  <c r="K716" i="1"/>
  <c r="L716" i="1" s="1"/>
  <c r="K717" i="1"/>
  <c r="L717" i="1" s="1"/>
  <c r="K718" i="1"/>
  <c r="L718" i="1" s="1"/>
  <c r="K719" i="1"/>
  <c r="L719" i="1" s="1"/>
  <c r="K720" i="1"/>
  <c r="L720" i="1" s="1"/>
  <c r="K721" i="1"/>
  <c r="L721" i="1" s="1"/>
  <c r="K722" i="1"/>
  <c r="L722" i="1" s="1"/>
  <c r="K723" i="1"/>
  <c r="L723" i="1" s="1"/>
  <c r="K724" i="1"/>
  <c r="L724" i="1" s="1"/>
  <c r="K725" i="1"/>
  <c r="L725" i="1" s="1"/>
  <c r="K726" i="1"/>
  <c r="L726" i="1" s="1"/>
  <c r="K727" i="1"/>
  <c r="L727" i="1" s="1"/>
  <c r="K728" i="1"/>
  <c r="L728" i="1" s="1"/>
  <c r="K729" i="1"/>
  <c r="L729" i="1" s="1"/>
  <c r="K730" i="1"/>
  <c r="L730" i="1" s="1"/>
  <c r="K731" i="1"/>
  <c r="L731" i="1" s="1"/>
  <c r="K732" i="1"/>
  <c r="L732" i="1" s="1"/>
  <c r="K733" i="1"/>
  <c r="L733" i="1" s="1"/>
  <c r="K734" i="1"/>
  <c r="L734" i="1" s="1"/>
  <c r="K735" i="1"/>
  <c r="L735" i="1" s="1"/>
  <c r="K736" i="1"/>
  <c r="L736" i="1" s="1"/>
  <c r="K737" i="1"/>
  <c r="L737" i="1" s="1"/>
  <c r="K738" i="1"/>
  <c r="L738" i="1" s="1"/>
  <c r="K739" i="1"/>
  <c r="L739" i="1" s="1"/>
  <c r="K740" i="1"/>
  <c r="L740" i="1" s="1"/>
  <c r="K741" i="1"/>
  <c r="L741" i="1" s="1"/>
  <c r="K742" i="1"/>
  <c r="L742" i="1" s="1"/>
  <c r="K743" i="1"/>
  <c r="L743" i="1" s="1"/>
  <c r="K744" i="1"/>
  <c r="L744" i="1" s="1"/>
  <c r="K745" i="1"/>
  <c r="L745" i="1" s="1"/>
  <c r="K746" i="1"/>
  <c r="L746" i="1" s="1"/>
  <c r="K747" i="1"/>
  <c r="L747" i="1" s="1"/>
  <c r="K748" i="1"/>
  <c r="L748" i="1" s="1"/>
  <c r="K749" i="1"/>
  <c r="L749" i="1" s="1"/>
  <c r="K750" i="1"/>
  <c r="L750" i="1" s="1"/>
  <c r="K751" i="1"/>
  <c r="L751" i="1" s="1"/>
  <c r="K752" i="1"/>
  <c r="L752" i="1" s="1"/>
  <c r="K753" i="1"/>
  <c r="L753" i="1" s="1"/>
  <c r="K754" i="1"/>
  <c r="L754" i="1" s="1"/>
  <c r="K755" i="1"/>
  <c r="L755" i="1" s="1"/>
  <c r="K756" i="1"/>
  <c r="L756" i="1" s="1"/>
  <c r="K757" i="1"/>
  <c r="L757" i="1" s="1"/>
  <c r="K758" i="1"/>
  <c r="L758" i="1" s="1"/>
  <c r="K759" i="1"/>
  <c r="L759" i="1" s="1"/>
  <c r="K760" i="1"/>
  <c r="L760" i="1" s="1"/>
  <c r="K761" i="1"/>
  <c r="L761" i="1" s="1"/>
  <c r="K762" i="1"/>
  <c r="L762" i="1" s="1"/>
  <c r="K763" i="1"/>
  <c r="L763" i="1" s="1"/>
  <c r="K764" i="1"/>
  <c r="L764" i="1" s="1"/>
  <c r="K765" i="1"/>
  <c r="L765" i="1" s="1"/>
  <c r="K766" i="1"/>
  <c r="L766" i="1" s="1"/>
  <c r="K767" i="1"/>
  <c r="L767" i="1" s="1"/>
  <c r="K768" i="1"/>
  <c r="L768" i="1" s="1"/>
  <c r="K769" i="1"/>
  <c r="L769" i="1" s="1"/>
  <c r="K770" i="1"/>
  <c r="L770" i="1" s="1"/>
  <c r="K771" i="1"/>
  <c r="L771" i="1" s="1"/>
  <c r="K772" i="1"/>
  <c r="L772" i="1" s="1"/>
  <c r="K773" i="1"/>
  <c r="L773" i="1" s="1"/>
  <c r="K774" i="1"/>
  <c r="L774" i="1" s="1"/>
  <c r="K775" i="1"/>
  <c r="L775" i="1" s="1"/>
  <c r="K776" i="1"/>
  <c r="L776" i="1" s="1"/>
  <c r="K777" i="1"/>
  <c r="L777" i="1" s="1"/>
  <c r="K778" i="1"/>
  <c r="L778" i="1" s="1"/>
  <c r="K779" i="1"/>
  <c r="L779" i="1" s="1"/>
  <c r="K780" i="1"/>
  <c r="L780" i="1" s="1"/>
  <c r="K781" i="1"/>
  <c r="L781" i="1" s="1"/>
  <c r="K782" i="1"/>
  <c r="L782" i="1" s="1"/>
  <c r="K783" i="1"/>
  <c r="L783" i="1" s="1"/>
  <c r="K784" i="1"/>
  <c r="L784" i="1" s="1"/>
  <c r="K785" i="1"/>
  <c r="L785" i="1" s="1"/>
  <c r="K786" i="1"/>
  <c r="L786" i="1" s="1"/>
  <c r="K787" i="1"/>
  <c r="L787" i="1" s="1"/>
  <c r="K788" i="1"/>
  <c r="L788" i="1" s="1"/>
  <c r="K789" i="1"/>
  <c r="L789" i="1" s="1"/>
  <c r="K790" i="1"/>
  <c r="L790" i="1" s="1"/>
  <c r="K791" i="1"/>
  <c r="L791" i="1" s="1"/>
  <c r="K792" i="1"/>
  <c r="L792" i="1" s="1"/>
  <c r="K793" i="1"/>
  <c r="L793" i="1" s="1"/>
  <c r="K794" i="1"/>
  <c r="L794" i="1" s="1"/>
  <c r="K795" i="1"/>
  <c r="L795" i="1" s="1"/>
  <c r="K796" i="1"/>
  <c r="L796" i="1" s="1"/>
  <c r="K797" i="1"/>
  <c r="L797" i="1" s="1"/>
  <c r="K798" i="1"/>
  <c r="L798" i="1" s="1"/>
  <c r="K799" i="1"/>
  <c r="L799" i="1" s="1"/>
  <c r="K800" i="1"/>
  <c r="L800" i="1" s="1"/>
  <c r="K801" i="1"/>
  <c r="L801" i="1" s="1"/>
  <c r="K802" i="1"/>
  <c r="L802" i="1" s="1"/>
  <c r="K803" i="1"/>
  <c r="L803" i="1" s="1"/>
  <c r="K804" i="1"/>
  <c r="L804" i="1" s="1"/>
  <c r="K805" i="1"/>
  <c r="L805" i="1" s="1"/>
  <c r="K806" i="1"/>
  <c r="L806" i="1" s="1"/>
  <c r="K807" i="1"/>
  <c r="L807" i="1" s="1"/>
  <c r="K808" i="1"/>
  <c r="L808" i="1" s="1"/>
  <c r="K809" i="1"/>
  <c r="L809" i="1" s="1"/>
  <c r="K810" i="1"/>
  <c r="L810" i="1" s="1"/>
  <c r="K811" i="1"/>
  <c r="L811" i="1" s="1"/>
  <c r="K812" i="1"/>
  <c r="L812" i="1" s="1"/>
  <c r="K813" i="1"/>
  <c r="L813" i="1" s="1"/>
  <c r="K814" i="1"/>
  <c r="L814" i="1" s="1"/>
  <c r="K815" i="1"/>
  <c r="L815" i="1" s="1"/>
  <c r="K816" i="1"/>
  <c r="L816" i="1" s="1"/>
  <c r="K817" i="1"/>
  <c r="L817" i="1" s="1"/>
  <c r="K818" i="1"/>
  <c r="L818" i="1" s="1"/>
  <c r="K819" i="1"/>
  <c r="L819" i="1" s="1"/>
  <c r="K820" i="1"/>
  <c r="L820" i="1" s="1"/>
  <c r="K821" i="1"/>
  <c r="L821" i="1" s="1"/>
  <c r="K822" i="1"/>
  <c r="L822" i="1" s="1"/>
  <c r="K823" i="1"/>
  <c r="L823" i="1" s="1"/>
  <c r="K824" i="1"/>
  <c r="L824" i="1" s="1"/>
  <c r="K825" i="1"/>
  <c r="L825" i="1" s="1"/>
  <c r="K826" i="1"/>
  <c r="L826" i="1" s="1"/>
  <c r="K827" i="1"/>
  <c r="L827" i="1" s="1"/>
  <c r="K828" i="1"/>
  <c r="L828" i="1" s="1"/>
  <c r="K829" i="1"/>
  <c r="L829" i="1" s="1"/>
  <c r="K830" i="1"/>
  <c r="L830" i="1" s="1"/>
  <c r="K831" i="1"/>
  <c r="L831" i="1" s="1"/>
  <c r="K832" i="1"/>
  <c r="L832" i="1" s="1"/>
  <c r="K833" i="1"/>
  <c r="L833" i="1" s="1"/>
  <c r="K834" i="1"/>
  <c r="L834" i="1" s="1"/>
  <c r="K835" i="1"/>
  <c r="L835" i="1" s="1"/>
  <c r="K836" i="1"/>
  <c r="L836" i="1" s="1"/>
  <c r="K837" i="1"/>
  <c r="L837" i="1" s="1"/>
  <c r="K838" i="1"/>
  <c r="L838" i="1" s="1"/>
  <c r="K839" i="1"/>
  <c r="L839" i="1" s="1"/>
  <c r="K840" i="1"/>
  <c r="L840" i="1" s="1"/>
  <c r="K841" i="1"/>
  <c r="L841" i="1" s="1"/>
  <c r="K842" i="1"/>
  <c r="L842" i="1" s="1"/>
  <c r="K843" i="1"/>
  <c r="L843" i="1" s="1"/>
  <c r="K844" i="1"/>
  <c r="L844" i="1" s="1"/>
  <c r="K845" i="1"/>
  <c r="L845" i="1" s="1"/>
  <c r="K846" i="1"/>
  <c r="L846" i="1" s="1"/>
  <c r="K847" i="1"/>
  <c r="L847" i="1" s="1"/>
  <c r="K848" i="1"/>
  <c r="L848" i="1" s="1"/>
  <c r="K849" i="1"/>
  <c r="L849" i="1" s="1"/>
  <c r="K850" i="1"/>
  <c r="L850" i="1" s="1"/>
  <c r="K851" i="1"/>
  <c r="L851" i="1" s="1"/>
  <c r="K852" i="1"/>
  <c r="L852" i="1" s="1"/>
  <c r="K853" i="1"/>
  <c r="L853" i="1" s="1"/>
  <c r="K854" i="1"/>
  <c r="L854" i="1" s="1"/>
  <c r="K855" i="1"/>
  <c r="L855" i="1" s="1"/>
  <c r="K856" i="1"/>
  <c r="L856" i="1" s="1"/>
  <c r="K857" i="1"/>
  <c r="L857" i="1" s="1"/>
  <c r="K858" i="1"/>
  <c r="L858" i="1" s="1"/>
  <c r="K859" i="1"/>
  <c r="L859" i="1" s="1"/>
  <c r="K860" i="1"/>
  <c r="L860" i="1" s="1"/>
  <c r="K861" i="1"/>
  <c r="L861" i="1" s="1"/>
  <c r="K862" i="1"/>
  <c r="L862" i="1" s="1"/>
  <c r="K863" i="1"/>
  <c r="L863" i="1" s="1"/>
  <c r="K864" i="1"/>
  <c r="L864" i="1" s="1"/>
  <c r="K865" i="1"/>
  <c r="L865" i="1" s="1"/>
  <c r="K866" i="1"/>
  <c r="L866" i="1" s="1"/>
  <c r="K867" i="1"/>
  <c r="L867" i="1" s="1"/>
  <c r="K868" i="1"/>
  <c r="L868" i="1" s="1"/>
  <c r="K869" i="1"/>
  <c r="L869" i="1" s="1"/>
  <c r="K870" i="1"/>
  <c r="L870" i="1" s="1"/>
  <c r="K871" i="1"/>
  <c r="L871" i="1" s="1"/>
  <c r="K872" i="1"/>
  <c r="L872" i="1" s="1"/>
  <c r="K873" i="1"/>
  <c r="L873" i="1" s="1"/>
  <c r="K874" i="1"/>
  <c r="L874" i="1" s="1"/>
  <c r="K875" i="1"/>
  <c r="L875" i="1" s="1"/>
  <c r="K876" i="1"/>
  <c r="L876" i="1" s="1"/>
  <c r="K877" i="1"/>
  <c r="L877" i="1" s="1"/>
  <c r="K878" i="1"/>
  <c r="L878" i="1" s="1"/>
  <c r="K879" i="1"/>
  <c r="L879" i="1" s="1"/>
  <c r="K880" i="1"/>
  <c r="L880" i="1" s="1"/>
  <c r="K881" i="1"/>
  <c r="L881" i="1" s="1"/>
  <c r="K882" i="1"/>
  <c r="L882" i="1" s="1"/>
  <c r="K883" i="1"/>
  <c r="L883" i="1" s="1"/>
  <c r="K884" i="1"/>
  <c r="L884" i="1" s="1"/>
  <c r="K885" i="1"/>
  <c r="L885" i="1" s="1"/>
  <c r="K886" i="1"/>
  <c r="L886" i="1" s="1"/>
  <c r="K887" i="1"/>
  <c r="L887" i="1" s="1"/>
  <c r="K888" i="1"/>
  <c r="L888" i="1" s="1"/>
  <c r="K889" i="1"/>
  <c r="L889" i="1" s="1"/>
  <c r="K890" i="1"/>
  <c r="L890" i="1" s="1"/>
  <c r="K891" i="1"/>
  <c r="L891" i="1" s="1"/>
  <c r="K892" i="1"/>
  <c r="L892" i="1" s="1"/>
  <c r="K893" i="1"/>
  <c r="L893" i="1" s="1"/>
  <c r="K894" i="1"/>
  <c r="L894" i="1" s="1"/>
  <c r="K895" i="1"/>
  <c r="L895" i="1" s="1"/>
  <c r="K896" i="1"/>
  <c r="L896" i="1" s="1"/>
  <c r="K897" i="1"/>
  <c r="L897" i="1" s="1"/>
  <c r="K898" i="1"/>
  <c r="L898" i="1" s="1"/>
  <c r="K899" i="1"/>
  <c r="L899" i="1" s="1"/>
  <c r="K900" i="1"/>
  <c r="L900" i="1" s="1"/>
  <c r="K901" i="1"/>
  <c r="L901" i="1" s="1"/>
  <c r="K902" i="1"/>
  <c r="L902" i="1" s="1"/>
  <c r="K903" i="1"/>
  <c r="L903" i="1" s="1"/>
  <c r="K904" i="1"/>
  <c r="L904" i="1" s="1"/>
  <c r="K905" i="1"/>
  <c r="L905" i="1" s="1"/>
  <c r="K906" i="1"/>
  <c r="L906" i="1" s="1"/>
  <c r="K907" i="1"/>
  <c r="L907" i="1" s="1"/>
  <c r="K908" i="1"/>
  <c r="L908" i="1" s="1"/>
  <c r="K909" i="1"/>
  <c r="L909" i="1" s="1"/>
  <c r="K910" i="1"/>
  <c r="L910" i="1" s="1"/>
  <c r="K911" i="1"/>
  <c r="L911" i="1" s="1"/>
  <c r="K912" i="1"/>
  <c r="L912" i="1" s="1"/>
  <c r="K913" i="1"/>
  <c r="L913" i="1" s="1"/>
  <c r="K914" i="1"/>
  <c r="L914" i="1" s="1"/>
  <c r="K915" i="1"/>
  <c r="L915" i="1" s="1"/>
  <c r="K916" i="1"/>
  <c r="L916" i="1" s="1"/>
  <c r="K917" i="1"/>
  <c r="L917" i="1" s="1"/>
  <c r="K918" i="1"/>
  <c r="L918" i="1" s="1"/>
  <c r="K919" i="1"/>
  <c r="L919" i="1" s="1"/>
  <c r="K920" i="1"/>
  <c r="L920" i="1" s="1"/>
  <c r="K921" i="1"/>
  <c r="L921" i="1" s="1"/>
  <c r="K922" i="1"/>
  <c r="L922" i="1" s="1"/>
  <c r="K923" i="1"/>
  <c r="L923" i="1" s="1"/>
  <c r="K924" i="1"/>
  <c r="L924" i="1" s="1"/>
  <c r="K925" i="1"/>
  <c r="L925" i="1" s="1"/>
  <c r="K926" i="1"/>
  <c r="L926" i="1" s="1"/>
  <c r="K927" i="1"/>
  <c r="L927" i="1" s="1"/>
  <c r="K928" i="1"/>
  <c r="L928" i="1" s="1"/>
  <c r="K929" i="1"/>
  <c r="L929" i="1" s="1"/>
  <c r="K930" i="1"/>
  <c r="L930" i="1" s="1"/>
  <c r="K931" i="1"/>
  <c r="L931" i="1" s="1"/>
  <c r="K932" i="1"/>
  <c r="L932" i="1" s="1"/>
  <c r="K933" i="1"/>
  <c r="L933" i="1" s="1"/>
  <c r="K934" i="1"/>
  <c r="L934" i="1" s="1"/>
  <c r="K935" i="1"/>
  <c r="L935" i="1" s="1"/>
  <c r="K936" i="1"/>
  <c r="L936" i="1" s="1"/>
  <c r="K937" i="1"/>
  <c r="L937" i="1" s="1"/>
  <c r="K938" i="1"/>
  <c r="L938" i="1" s="1"/>
  <c r="K939" i="1"/>
  <c r="L939" i="1" s="1"/>
  <c r="K940" i="1"/>
  <c r="L940" i="1" s="1"/>
  <c r="K941" i="1"/>
  <c r="L941" i="1" s="1"/>
  <c r="K942" i="1"/>
  <c r="L942" i="1" s="1"/>
  <c r="K943" i="1"/>
  <c r="L943" i="1" s="1"/>
  <c r="K944" i="1"/>
  <c r="L944" i="1" s="1"/>
  <c r="K945" i="1"/>
  <c r="L945" i="1" s="1"/>
  <c r="K946" i="1"/>
  <c r="L946" i="1" s="1"/>
  <c r="K947" i="1"/>
  <c r="L947" i="1" s="1"/>
  <c r="K948" i="1"/>
  <c r="L948" i="1" s="1"/>
  <c r="K949" i="1"/>
  <c r="L949" i="1" s="1"/>
  <c r="K950" i="1"/>
  <c r="L950" i="1" s="1"/>
  <c r="K951" i="1"/>
  <c r="L951" i="1" s="1"/>
  <c r="K952" i="1"/>
  <c r="L952" i="1" s="1"/>
  <c r="K953" i="1"/>
  <c r="L953" i="1" s="1"/>
  <c r="K954" i="1"/>
  <c r="L954" i="1" s="1"/>
  <c r="K955" i="1"/>
  <c r="L955" i="1" s="1"/>
  <c r="K956" i="1"/>
  <c r="L956" i="1" s="1"/>
  <c r="K957" i="1"/>
  <c r="L957" i="1" s="1"/>
  <c r="K958" i="1"/>
  <c r="L958" i="1" s="1"/>
  <c r="K959" i="1"/>
  <c r="L959" i="1" s="1"/>
  <c r="K960" i="1"/>
  <c r="L960" i="1" s="1"/>
  <c r="K961" i="1"/>
  <c r="L961" i="1" s="1"/>
  <c r="K962" i="1"/>
  <c r="L962" i="1" s="1"/>
  <c r="K963" i="1"/>
  <c r="L963" i="1" s="1"/>
  <c r="K964" i="1"/>
  <c r="L964" i="1" s="1"/>
  <c r="K965" i="1"/>
  <c r="L965" i="1" s="1"/>
  <c r="K966" i="1"/>
  <c r="L966" i="1" s="1"/>
  <c r="K967" i="1"/>
  <c r="L967" i="1" s="1"/>
  <c r="K968" i="1"/>
  <c r="L968" i="1" s="1"/>
  <c r="K969" i="1"/>
  <c r="L969" i="1" s="1"/>
  <c r="K970" i="1"/>
  <c r="L970" i="1" s="1"/>
  <c r="K971" i="1"/>
  <c r="L971" i="1" s="1"/>
  <c r="K972" i="1"/>
  <c r="L972" i="1" s="1"/>
  <c r="K973" i="1"/>
  <c r="L973" i="1" s="1"/>
  <c r="K974" i="1"/>
  <c r="L974" i="1" s="1"/>
  <c r="K975" i="1"/>
  <c r="L975" i="1" s="1"/>
  <c r="K976" i="1"/>
  <c r="L976" i="1" s="1"/>
  <c r="K977" i="1"/>
  <c r="L977" i="1" s="1"/>
  <c r="K978" i="1"/>
  <c r="L978" i="1" s="1"/>
  <c r="K979" i="1"/>
  <c r="L979" i="1" s="1"/>
  <c r="K980" i="1"/>
  <c r="L980" i="1" s="1"/>
  <c r="K981" i="1"/>
  <c r="L981" i="1" s="1"/>
  <c r="K982" i="1"/>
  <c r="L982" i="1" s="1"/>
  <c r="K983" i="1"/>
  <c r="L983" i="1" s="1"/>
  <c r="K984" i="1"/>
  <c r="L984" i="1" s="1"/>
  <c r="K985" i="1"/>
  <c r="L985" i="1" s="1"/>
  <c r="K986" i="1"/>
  <c r="L986" i="1" s="1"/>
  <c r="K987" i="1"/>
  <c r="L987" i="1" s="1"/>
  <c r="K988" i="1"/>
  <c r="L988" i="1" s="1"/>
  <c r="K989" i="1"/>
  <c r="L989" i="1" s="1"/>
  <c r="K990" i="1"/>
  <c r="L990" i="1" s="1"/>
  <c r="K991" i="1"/>
  <c r="L991" i="1" s="1"/>
  <c r="K992" i="1"/>
  <c r="L992" i="1" s="1"/>
  <c r="K993" i="1"/>
  <c r="L993" i="1" s="1"/>
  <c r="K994" i="1"/>
  <c r="L994" i="1" s="1"/>
  <c r="K995" i="1"/>
  <c r="L995" i="1" s="1"/>
  <c r="K996" i="1"/>
  <c r="L996" i="1" s="1"/>
  <c r="K997" i="1"/>
  <c r="L997" i="1" s="1"/>
  <c r="K998" i="1"/>
  <c r="L998" i="1" s="1"/>
  <c r="K999" i="1"/>
  <c r="L999" i="1" s="1"/>
  <c r="K1000" i="1"/>
  <c r="L1000" i="1" s="1"/>
  <c r="K1001" i="1"/>
  <c r="L1001"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AN15" i="5"/>
  <c r="AN14" i="5"/>
  <c r="AO14" i="5" s="1"/>
  <c r="AN13" i="5"/>
  <c r="AO13" i="5" s="1"/>
  <c r="AN4" i="5"/>
  <c r="AP4" i="5" s="1"/>
  <c r="AN5" i="5"/>
  <c r="AO5" i="5" s="1"/>
  <c r="AN6" i="5"/>
  <c r="AP6" i="5" s="1"/>
  <c r="AN7" i="5"/>
  <c r="AO7" i="5" s="1"/>
  <c r="AN8" i="5"/>
  <c r="AP8" i="5" s="1"/>
  <c r="AN9" i="5"/>
  <c r="AP9" i="5" s="1"/>
  <c r="AM4" i="5"/>
  <c r="AM5" i="5"/>
  <c r="AM6" i="5"/>
  <c r="AM7" i="5"/>
  <c r="AM8" i="5"/>
  <c r="AM9" i="5"/>
  <c r="AN3" i="5"/>
  <c r="AM3" i="5"/>
  <c r="AK5" i="5"/>
  <c r="AK6" i="5"/>
  <c r="AK7" i="5"/>
  <c r="AK8" i="5"/>
  <c r="AK9" i="5"/>
  <c r="AK4" i="5"/>
  <c r="Z12" i="5"/>
  <c r="AD4" i="5"/>
  <c r="AF4" i="5" s="1"/>
  <c r="AD5" i="5"/>
  <c r="AE5" i="5" s="1"/>
  <c r="AD6" i="5"/>
  <c r="AF6" i="5" s="1"/>
  <c r="AD7" i="5"/>
  <c r="AF7" i="5" s="1"/>
  <c r="AC4" i="5"/>
  <c r="AC5" i="5"/>
  <c r="AC6" i="5"/>
  <c r="AC7" i="5"/>
  <c r="AD3" i="5"/>
  <c r="AC3" i="5"/>
  <c r="AA7" i="5"/>
  <c r="AA6" i="5"/>
  <c r="AA5" i="5"/>
  <c r="AA4" i="5"/>
  <c r="M6" i="5"/>
  <c r="M7" i="5"/>
  <c r="M8" i="5"/>
  <c r="M9" i="5"/>
  <c r="M10" i="5"/>
  <c r="M11" i="5"/>
  <c r="M12" i="5"/>
  <c r="M13" i="5"/>
  <c r="M5" i="5"/>
  <c r="M4" i="5"/>
  <c r="D5" i="5"/>
  <c r="Q4" i="5"/>
  <c r="Q5" i="5"/>
  <c r="Q6" i="5"/>
  <c r="Q7" i="5"/>
  <c r="Q8" i="5"/>
  <c r="Q9" i="5"/>
  <c r="Q10" i="5"/>
  <c r="Q11" i="5"/>
  <c r="Q12" i="5"/>
  <c r="Q13" i="5"/>
  <c r="Q3" i="5"/>
  <c r="P4" i="5"/>
  <c r="P5" i="5"/>
  <c r="P6" i="5"/>
  <c r="P7" i="5"/>
  <c r="P8" i="5"/>
  <c r="P9" i="5"/>
  <c r="P10" i="5"/>
  <c r="P11" i="5"/>
  <c r="P12" i="5"/>
  <c r="P13" i="5"/>
  <c r="P3" i="5"/>
  <c r="T9" i="5"/>
  <c r="U5" i="5"/>
  <c r="V5" i="5" s="1"/>
  <c r="U4" i="5"/>
  <c r="H6" i="5"/>
  <c r="V6" i="5" s="1"/>
  <c r="B5" i="5"/>
  <c r="C5" i="5"/>
  <c r="A5" i="5"/>
  <c r="T27" i="5" l="1"/>
  <c r="R4" i="5"/>
  <c r="AB13" i="5"/>
  <c r="AO4" i="5"/>
  <c r="AF5" i="5"/>
  <c r="AE6" i="5"/>
  <c r="AB11" i="5"/>
  <c r="AE7" i="5"/>
  <c r="AE4" i="5"/>
  <c r="BI21" i="5"/>
  <c r="AX13" i="5"/>
  <c r="AY9" i="5"/>
  <c r="BJ6" i="5"/>
  <c r="BJ18" i="5"/>
  <c r="BI7" i="5"/>
  <c r="BI10" i="5"/>
  <c r="BJ15" i="5"/>
  <c r="BI22" i="5"/>
  <c r="BJ14" i="5"/>
  <c r="BI9" i="5"/>
  <c r="BJ11" i="5"/>
  <c r="BJ13" i="5"/>
  <c r="BI5" i="5"/>
  <c r="BI12" i="5"/>
  <c r="BJ4" i="5"/>
  <c r="BJ8" i="5"/>
  <c r="AY4" i="5"/>
  <c r="AY5" i="5"/>
  <c r="AX14" i="5"/>
  <c r="AY10" i="5"/>
  <c r="AY8" i="5"/>
  <c r="AY7" i="5"/>
  <c r="AY6" i="5"/>
  <c r="AO9" i="5"/>
  <c r="AO8" i="5"/>
  <c r="AP7" i="5"/>
  <c r="AP5" i="5"/>
  <c r="AO6" i="5"/>
  <c r="AN16" i="5"/>
  <c r="AN17" i="5"/>
  <c r="Z13" i="5"/>
  <c r="T18" i="5" s="1"/>
  <c r="R5" i="5"/>
  <c r="R11" i="5"/>
  <c r="R10" i="5"/>
  <c r="T12" i="5"/>
  <c r="R8" i="5"/>
  <c r="R12" i="5"/>
  <c r="R9" i="5"/>
  <c r="R7" i="5"/>
  <c r="V4" i="5"/>
  <c r="T28" i="5" s="1"/>
  <c r="R14" i="5"/>
  <c r="R6" i="5"/>
  <c r="R13" i="5"/>
  <c r="T26" i="5" l="1"/>
  <c r="T20" i="5"/>
  <c r="T24" i="5"/>
  <c r="T22" i="5"/>
  <c r="T15" i="5"/>
</calcChain>
</file>

<file path=xl/sharedStrings.xml><?xml version="1.0" encoding="utf-8"?>
<sst xmlns="http://schemas.openxmlformats.org/spreadsheetml/2006/main" count="4118" uniqueCount="97">
  <si>
    <t>Date</t>
  </si>
  <si>
    <t>Product</t>
  </si>
  <si>
    <t>Category</t>
  </si>
  <si>
    <t>Region</t>
  </si>
  <si>
    <t>Sales Rep</t>
  </si>
  <si>
    <t>Quantity</t>
  </si>
  <si>
    <t>Unit Price</t>
  </si>
  <si>
    <t>Sales Amount</t>
  </si>
  <si>
    <t>Milk</t>
  </si>
  <si>
    <t>Food</t>
  </si>
  <si>
    <t>Port Harcourt</t>
  </si>
  <si>
    <t>David</t>
  </si>
  <si>
    <t>Tomato Paste</t>
  </si>
  <si>
    <t>Groceries</t>
  </si>
  <si>
    <t>Abuja</t>
  </si>
  <si>
    <t>Ibrahim</t>
  </si>
  <si>
    <t>Cooking Oil (1L)</t>
  </si>
  <si>
    <t>Lagos</t>
  </si>
  <si>
    <t>Chioma</t>
  </si>
  <si>
    <t>Kano</t>
  </si>
  <si>
    <t>Noodles Pack</t>
  </si>
  <si>
    <t>Beverage</t>
  </si>
  <si>
    <t>John</t>
  </si>
  <si>
    <t>Bread</t>
  </si>
  <si>
    <t>Sugar</t>
  </si>
  <si>
    <t>Eggs (crate)</t>
  </si>
  <si>
    <t>Aishat</t>
  </si>
  <si>
    <t>Grace</t>
  </si>
  <si>
    <t>Count of Product</t>
  </si>
  <si>
    <t>Sum of Quantity</t>
  </si>
  <si>
    <t xml:space="preserve">Sales Amount </t>
  </si>
  <si>
    <t>Average Order Value(AOV)</t>
  </si>
  <si>
    <t>Row Labels</t>
  </si>
  <si>
    <t>Number of products sold</t>
  </si>
  <si>
    <t>Get 2 Max Value</t>
  </si>
  <si>
    <t>Function Large</t>
  </si>
  <si>
    <t>Name of top Products</t>
  </si>
  <si>
    <t>All Sales</t>
  </si>
  <si>
    <t>Top product percentage contribution</t>
  </si>
  <si>
    <t>Rice (10kg)</t>
  </si>
  <si>
    <t>Turkey</t>
  </si>
  <si>
    <t>Juice</t>
  </si>
  <si>
    <t>Others</t>
  </si>
  <si>
    <t>Top</t>
  </si>
  <si>
    <t>formatting</t>
  </si>
  <si>
    <t>under performing</t>
  </si>
  <si>
    <t>Others Sales</t>
  </si>
  <si>
    <t>lowest region</t>
  </si>
  <si>
    <t>value</t>
  </si>
  <si>
    <t>region</t>
  </si>
  <si>
    <t>All sales</t>
  </si>
  <si>
    <t>pct contribution</t>
  </si>
  <si>
    <t>get max/min value</t>
  </si>
  <si>
    <t>function</t>
  </si>
  <si>
    <t>names of sales rep</t>
  </si>
  <si>
    <t>Top performer</t>
  </si>
  <si>
    <t>Low performer</t>
  </si>
  <si>
    <t>Pct of Aishat</t>
  </si>
  <si>
    <t>Pct of Grace</t>
  </si>
  <si>
    <t>Month</t>
  </si>
  <si>
    <t>Month name</t>
  </si>
  <si>
    <t>Weekday</t>
  </si>
  <si>
    <t>WeekName</t>
  </si>
  <si>
    <t>Sun</t>
  </si>
  <si>
    <t>Mon</t>
  </si>
  <si>
    <t>Tue</t>
  </si>
  <si>
    <t>Wed</t>
  </si>
  <si>
    <t>Thu</t>
  </si>
  <si>
    <t>Fri</t>
  </si>
  <si>
    <t>Sat</t>
  </si>
  <si>
    <t>Max value</t>
  </si>
  <si>
    <t>dayname</t>
  </si>
  <si>
    <t>Top 2 performing days</t>
  </si>
  <si>
    <t>Pct Contribution</t>
  </si>
  <si>
    <t>Jan</t>
  </si>
  <si>
    <t>Feb</t>
  </si>
  <si>
    <t>Mar</t>
  </si>
  <si>
    <t>Apr</t>
  </si>
  <si>
    <t>May</t>
  </si>
  <si>
    <t>Jun</t>
  </si>
  <si>
    <t>Jul</t>
  </si>
  <si>
    <t>Aug</t>
  </si>
  <si>
    <t>Sep</t>
  </si>
  <si>
    <t>Oct</t>
  </si>
  <si>
    <t>Nov</t>
  </si>
  <si>
    <t>Dec</t>
  </si>
  <si>
    <t xml:space="preserve">Top performing month </t>
  </si>
  <si>
    <t xml:space="preserve">Lowest performing month </t>
  </si>
  <si>
    <t>month</t>
  </si>
  <si>
    <t>Max/Min month</t>
  </si>
  <si>
    <t xml:space="preserve">All sales </t>
  </si>
  <si>
    <t>pct of aug</t>
  </si>
  <si>
    <t xml:space="preserve">pct of jan </t>
  </si>
  <si>
    <t xml:space="preserve"> Sales Amount</t>
  </si>
  <si>
    <t>Prioritize: (1) Lagos market penetration via sales hire + promotions, (2) Basket-size growth through product bundling, (3) Sales coaching for underperformers. These three moves could realistically add ₦5–8M in Year 2 revenue.</t>
  </si>
  <si>
    <t xml:space="preserve">Top region </t>
  </si>
  <si>
    <t>Top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</si>
</sst>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1\k"/>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1E293B"/>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164" fontId="0" fillId="0" borderId="0" xfId="0" applyNumberFormat="1"/>
    <xf numFmtId="165" fontId="0" fillId="0" borderId="0" xfId="0" applyNumberFormat="1"/>
    <xf numFmtId="0" fontId="0" fillId="33" borderId="0" xfId="0" applyFill="1"/>
    <xf numFmtId="0" fontId="0" fillId="0" borderId="0" xfId="0" pivotButton="1"/>
    <xf numFmtId="0" fontId="0" fillId="0" borderId="0" xfId="0" applyAlignment="1">
      <alignment horizontal="left"/>
    </xf>
    <xf numFmtId="164" fontId="0" fillId="0" borderId="0" xfId="42" applyNumberFormat="1" applyFont="1"/>
    <xf numFmtId="9" fontId="0" fillId="0" borderId="0" xfId="43" applyFont="1"/>
    <xf numFmtId="10" fontId="0" fillId="0" borderId="0" xfId="0" applyNumberFormat="1"/>
    <xf numFmtId="0" fontId="18" fillId="0" borderId="0" xfId="0" applyFont="1"/>
    <xf numFmtId="0" fontId="0" fillId="0" borderId="10" xfId="0" applyBorder="1"/>
    <xf numFmtId="164" fontId="0" fillId="0" borderId="10" xfId="0" applyNumberFormat="1" applyBorder="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6">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19" formatCode="m/d/yyyy"/>
    </dxf>
    <dxf>
      <numFmt numFmtId="164" formatCode="_(* #,##0_);_(* \(#,##0\);_(* &quot;-&quot;??_);_(@_)"/>
    </dxf>
    <dxf>
      <numFmt numFmtId="164" formatCode="_(* #,##0_);_(* \(#,##0\);_(* &quot;-&quot;??_);_(@_)"/>
    </dxf>
    <dxf>
      <fill>
        <patternFill patternType="none">
          <bgColor auto="1"/>
        </patternFill>
      </fill>
      <border diagonalUp="0" diagonalDown="0">
        <left/>
        <right/>
        <top/>
        <bottom/>
        <vertical/>
        <horizontal/>
      </border>
    </dxf>
    <dxf>
      <font>
        <b val="0"/>
        <i/>
        <sz val="12"/>
        <color theme="0"/>
        <name val="Calibri"/>
        <family val="2"/>
        <scheme val="minor"/>
      </font>
      <fill>
        <patternFill>
          <bgColor rgb="FF0070C0"/>
        </patternFill>
      </fill>
    </dxf>
    <dxf>
      <fill>
        <patternFill patternType="none">
          <fgColor indexed="64"/>
          <bgColor auto="1"/>
        </patternFill>
      </fill>
      <border diagonalUp="0" diagonalDown="0">
        <left/>
        <right/>
        <top/>
        <bottom/>
        <vertical/>
        <horizontal/>
      </border>
    </dxf>
    <dxf>
      <fill>
        <patternFill patternType="none">
          <fgColor indexed="64"/>
          <bgColor auto="1"/>
        </patternFill>
      </fill>
      <border diagonalUp="0" diagonalDown="0">
        <left/>
        <right/>
        <top/>
        <bottom/>
        <vertical/>
        <horizontal/>
      </border>
    </dxf>
    <dxf>
      <fill>
        <patternFill patternType="none">
          <fgColor indexed="64"/>
          <bgColor auto="1"/>
        </patternFill>
      </fill>
    </dxf>
  </dxfs>
  <tableStyles count="7" defaultTableStyle="TableStyleMedium2" defaultPivotStyle="PivotStyleLight16">
    <tableStyle name="Slicer Style 1" pivot="0" table="0" count="1" xr9:uid="{3A637891-ACB9-4840-827D-F9501FD1134E}">
      <tableStyleElement type="wholeTable" dxfId="15"/>
    </tableStyle>
    <tableStyle name="Slicer Style 2" pivot="0" table="0" count="1" xr9:uid="{BF072046-7FB2-4F19-9479-F547D7A24561}">
      <tableStyleElement type="wholeTable" dxfId="14"/>
    </tableStyle>
    <tableStyle name="Slicer Style 3" pivot="0" table="0" count="1" xr9:uid="{C5A12FD4-E726-44B0-BFE7-321177093394}">
      <tableStyleElement type="wholeTable" dxfId="13"/>
    </tableStyle>
    <tableStyle name="Slicer Style 4" pivot="0" table="0" count="1" xr9:uid="{BDA3586B-6C42-4059-8BE7-F87CE67BD852}"/>
    <tableStyle name="Slicer Style 5" pivot="0" table="0" count="8" xr9:uid="{B0ED9C87-1FD8-40B2-A42B-840692D83174}">
      <tableStyleElement type="wholeTable" dxfId="12"/>
    </tableStyle>
    <tableStyle name="Slicer Style 6" pivot="0" table="0" count="1" xr9:uid="{8E0C6410-D7F4-4364-8438-414A4A658F5A}">
      <tableStyleElement type="wholeTable" dxfId="11"/>
    </tableStyle>
    <tableStyle name="Slicer Style 7" pivot="0" table="0" count="0" xr9:uid="{F28054F7-64BE-455A-B6E3-58C19378EF7D}"/>
  </tableStyles>
  <colors>
    <mruColors>
      <color rgb="FF800043"/>
      <color rgb="FF0070C0"/>
      <color rgb="FF00112E"/>
      <color rgb="FF2F5597"/>
      <color rgb="FF007F63"/>
    </mruColors>
  </colors>
  <extLst>
    <ext xmlns:x14="http://schemas.microsoft.com/office/spreadsheetml/2009/9/main" uri="{46F421CA-312F-682f-3DD2-61675219B42D}">
      <x14:dxfs count="8">
        <dxf>
          <fill>
            <patternFill>
              <bgColor theme="8" tint="-0.499984740745262"/>
            </patternFill>
          </fill>
        </dxf>
        <dxf>
          <fill>
            <patternFill>
              <bgColor rgb="FF002060"/>
            </patternFill>
          </fill>
        </dxf>
        <dxf>
          <fill>
            <patternFill>
              <bgColor theme="8" tint="-0.499984740745262"/>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2060"/>
            </patternFill>
          </fill>
        </dxf>
      </x14:dxfs>
    </ext>
    <ext xmlns:x14="http://schemas.microsoft.com/office/spreadsheetml/2009/9/main" uri="{EB79DEF2-80B8-43e5-95BD-54CBDDF9020C}">
      <x14:slicerStyles defaultSlicerStyle="Slicer Style 7">
        <x14:slicerStyle name="Slicer Style 1"/>
        <x14:slicerStyle name="Slicer Style 2"/>
        <x14:slicerStyle name="Slicer Style 3"/>
        <x14:slicerStyle name="Slicer Style 4">
          <x14:slicerStyleElements>
            <x14:slicerStyleElement type="selectedItemWithData" dxfId="7"/>
          </x14:slicerStyleElements>
        </x14:slicerStyle>
        <x14:slicerStyle name="Slicer Style 5">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956301114534597"/>
          <c:y val="4.8483394121763418E-2"/>
          <c:w val="0.64946727113656244"/>
          <c:h val="0.83993849192331538"/>
        </c:manualLayout>
      </c:layout>
      <c:barChart>
        <c:barDir val="bar"/>
        <c:grouping val="clustered"/>
        <c:varyColors val="0"/>
        <c:ser>
          <c:idx val="0"/>
          <c:order val="0"/>
          <c:tx>
            <c:strRef>
              <c:f>'Pivot tables'!$Q$3</c:f>
              <c:strCache>
                <c:ptCount val="1"/>
                <c:pt idx="0">
                  <c:v>Others</c:v>
                </c:pt>
              </c:strCache>
            </c:strRef>
          </c:tx>
          <c:spPr>
            <a:solidFill>
              <a:schemeClr val="accent1">
                <a:lumMod val="60000"/>
                <a:lumOff val="40000"/>
              </a:schemeClr>
            </a:solidFill>
            <a:ln>
              <a:noFill/>
            </a:ln>
            <a:effectLst/>
          </c:spPr>
          <c:invertIfNegative val="0"/>
          <c:dPt>
            <c:idx val="2"/>
            <c:invertIfNegative val="0"/>
            <c:bubble3D val="0"/>
            <c:spPr>
              <a:solidFill>
                <a:srgbClr val="0070C0"/>
              </a:solidFill>
              <a:ln>
                <a:noFill/>
              </a:ln>
              <a:effectLst/>
            </c:spPr>
            <c:extLst>
              <c:ext xmlns:c16="http://schemas.microsoft.com/office/drawing/2014/chart" uri="{C3380CC4-5D6E-409C-BE32-E72D297353CC}">
                <c16:uniqueId val="{00000002-4EE7-4D88-9C24-DF49BE7A5811}"/>
              </c:ext>
            </c:extLst>
          </c:dPt>
          <c:dPt>
            <c:idx val="3"/>
            <c:invertIfNegative val="0"/>
            <c:bubble3D val="0"/>
            <c:spPr>
              <a:solidFill>
                <a:srgbClr val="0070C0"/>
              </a:solidFill>
              <a:ln>
                <a:noFill/>
              </a:ln>
              <a:effectLst/>
            </c:spPr>
            <c:extLst>
              <c:ext xmlns:c16="http://schemas.microsoft.com/office/drawing/2014/chart" uri="{C3380CC4-5D6E-409C-BE32-E72D297353CC}">
                <c16:uniqueId val="{00000003-4EE7-4D88-9C24-DF49BE7A5811}"/>
              </c:ext>
            </c:extLst>
          </c:dPt>
          <c:dPt>
            <c:idx val="4"/>
            <c:invertIfNegative val="0"/>
            <c:bubble3D val="0"/>
            <c:spPr>
              <a:solidFill>
                <a:srgbClr val="0070C0"/>
              </a:solidFill>
              <a:ln>
                <a:noFill/>
              </a:ln>
              <a:effectLst/>
            </c:spPr>
            <c:extLst>
              <c:ext xmlns:c16="http://schemas.microsoft.com/office/drawing/2014/chart" uri="{C3380CC4-5D6E-409C-BE32-E72D297353CC}">
                <c16:uniqueId val="{00000004-4EE7-4D88-9C24-DF49BE7A5811}"/>
              </c:ext>
            </c:extLst>
          </c:dPt>
          <c:dPt>
            <c:idx val="5"/>
            <c:invertIfNegative val="0"/>
            <c:bubble3D val="0"/>
            <c:spPr>
              <a:solidFill>
                <a:srgbClr val="0070C0"/>
              </a:solidFill>
              <a:ln>
                <a:noFill/>
              </a:ln>
              <a:effectLst/>
            </c:spPr>
            <c:extLst>
              <c:ext xmlns:c16="http://schemas.microsoft.com/office/drawing/2014/chart" uri="{C3380CC4-5D6E-409C-BE32-E72D297353CC}">
                <c16:uniqueId val="{00000005-4EE7-4D88-9C24-DF49BE7A5811}"/>
              </c:ext>
            </c:extLst>
          </c:dPt>
          <c:dPt>
            <c:idx val="6"/>
            <c:invertIfNegative val="0"/>
            <c:bubble3D val="0"/>
            <c:spPr>
              <a:solidFill>
                <a:srgbClr val="0070C0"/>
              </a:solidFill>
              <a:ln>
                <a:noFill/>
              </a:ln>
              <a:effectLst/>
            </c:spPr>
            <c:extLst>
              <c:ext xmlns:c16="http://schemas.microsoft.com/office/drawing/2014/chart" uri="{C3380CC4-5D6E-409C-BE32-E72D297353CC}">
                <c16:uniqueId val="{00000006-4EE7-4D88-9C24-DF49BE7A5811}"/>
              </c:ext>
            </c:extLst>
          </c:dPt>
          <c:dPt>
            <c:idx val="7"/>
            <c:invertIfNegative val="0"/>
            <c:bubble3D val="0"/>
            <c:spPr>
              <a:solidFill>
                <a:srgbClr val="0070C0"/>
              </a:solidFill>
              <a:ln>
                <a:noFill/>
              </a:ln>
              <a:effectLst/>
            </c:spPr>
            <c:extLst>
              <c:ext xmlns:c16="http://schemas.microsoft.com/office/drawing/2014/chart" uri="{C3380CC4-5D6E-409C-BE32-E72D297353CC}">
                <c16:uniqueId val="{00000007-4EE7-4D88-9C24-DF49BE7A5811}"/>
              </c:ext>
            </c:extLst>
          </c:dPt>
          <c:dPt>
            <c:idx val="8"/>
            <c:invertIfNegative val="0"/>
            <c:bubble3D val="0"/>
            <c:spPr>
              <a:solidFill>
                <a:srgbClr val="0070C0"/>
              </a:solidFill>
              <a:ln>
                <a:noFill/>
              </a:ln>
              <a:effectLst/>
            </c:spPr>
            <c:extLst>
              <c:ext xmlns:c16="http://schemas.microsoft.com/office/drawing/2014/chart" uri="{C3380CC4-5D6E-409C-BE32-E72D297353CC}">
                <c16:uniqueId val="{00000008-4EE7-4D88-9C24-DF49BE7A5811}"/>
              </c:ext>
            </c:extLst>
          </c:dPt>
          <c:dPt>
            <c:idx val="9"/>
            <c:invertIfNegative val="0"/>
            <c:bubble3D val="0"/>
            <c:spPr>
              <a:solidFill>
                <a:srgbClr val="0070C0"/>
              </a:solidFill>
              <a:ln>
                <a:noFill/>
              </a:ln>
              <a:effectLst/>
            </c:spPr>
            <c:extLst>
              <c:ext xmlns:c16="http://schemas.microsoft.com/office/drawing/2014/chart" uri="{C3380CC4-5D6E-409C-BE32-E72D297353CC}">
                <c16:uniqueId val="{00000009-4EE7-4D88-9C24-DF49BE7A5811}"/>
              </c:ext>
            </c:extLst>
          </c:dPt>
          <c:dLbls>
            <c:dLbl>
              <c:idx val="0"/>
              <c:tx>
                <c:rich>
                  <a:bodyPr/>
                  <a:lstStyle/>
                  <a:p>
                    <a:fld id="{2D8F8253-D33F-4C7F-8A73-221BAC7A033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EE7-4D88-9C24-DF49BE7A5811}"/>
                </c:ext>
              </c:extLst>
            </c:dLbl>
            <c:dLbl>
              <c:idx val="1"/>
              <c:tx>
                <c:rich>
                  <a:bodyPr/>
                  <a:lstStyle/>
                  <a:p>
                    <a:fld id="{5BE281C3-3E7A-4609-889F-096F8650A8E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EE7-4D88-9C24-DF49BE7A5811}"/>
                </c:ext>
              </c:extLst>
            </c:dLbl>
            <c:dLbl>
              <c:idx val="2"/>
              <c:tx>
                <c:rich>
                  <a:bodyPr/>
                  <a:lstStyle/>
                  <a:p>
                    <a:fld id="{60637EEE-2275-461B-B73C-34B67A8892F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EE7-4D88-9C24-DF49BE7A5811}"/>
                </c:ext>
              </c:extLst>
            </c:dLbl>
            <c:dLbl>
              <c:idx val="3"/>
              <c:tx>
                <c:rich>
                  <a:bodyPr/>
                  <a:lstStyle/>
                  <a:p>
                    <a:fld id="{76A5C3B8-DB65-4992-8D69-B343CA61F3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EE7-4D88-9C24-DF49BE7A5811}"/>
                </c:ext>
              </c:extLst>
            </c:dLbl>
            <c:dLbl>
              <c:idx val="4"/>
              <c:tx>
                <c:rich>
                  <a:bodyPr/>
                  <a:lstStyle/>
                  <a:p>
                    <a:fld id="{AE08351F-CFB6-4E6E-9BF4-34CE652A24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EE7-4D88-9C24-DF49BE7A5811}"/>
                </c:ext>
              </c:extLst>
            </c:dLbl>
            <c:dLbl>
              <c:idx val="5"/>
              <c:tx>
                <c:rich>
                  <a:bodyPr/>
                  <a:lstStyle/>
                  <a:p>
                    <a:fld id="{A24418ED-B6FC-4013-AC61-D355512D2C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EE7-4D88-9C24-DF49BE7A5811}"/>
                </c:ext>
              </c:extLst>
            </c:dLbl>
            <c:dLbl>
              <c:idx val="6"/>
              <c:tx>
                <c:rich>
                  <a:bodyPr/>
                  <a:lstStyle/>
                  <a:p>
                    <a:fld id="{F654589C-1661-42D7-B707-760DF84E1C0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EE7-4D88-9C24-DF49BE7A5811}"/>
                </c:ext>
              </c:extLst>
            </c:dLbl>
            <c:dLbl>
              <c:idx val="7"/>
              <c:tx>
                <c:rich>
                  <a:bodyPr/>
                  <a:lstStyle/>
                  <a:p>
                    <a:fld id="{7285AE7A-4C6A-414D-B4A4-A6650DDCFD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EE7-4D88-9C24-DF49BE7A5811}"/>
                </c:ext>
              </c:extLst>
            </c:dLbl>
            <c:dLbl>
              <c:idx val="8"/>
              <c:tx>
                <c:rich>
                  <a:bodyPr/>
                  <a:lstStyle/>
                  <a:p>
                    <a:fld id="{D4110A3A-3823-467A-A6CF-3BD19C5792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EE7-4D88-9C24-DF49BE7A5811}"/>
                </c:ext>
              </c:extLst>
            </c:dLbl>
            <c:dLbl>
              <c:idx val="9"/>
              <c:tx>
                <c:rich>
                  <a:bodyPr/>
                  <a:lstStyle/>
                  <a:p>
                    <a:fld id="{8462798D-34D8-413B-A4B1-4AE5B66BB05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EE7-4D88-9C24-DF49BE7A581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tables'!$P$4:$P$13</c:f>
              <c:strCache>
                <c:ptCount val="10"/>
                <c:pt idx="0">
                  <c:v>Rice (10kg)</c:v>
                </c:pt>
                <c:pt idx="1">
                  <c:v>Turkey</c:v>
                </c:pt>
                <c:pt idx="2">
                  <c:v>Eggs (crate)</c:v>
                </c:pt>
                <c:pt idx="3">
                  <c:v>Cooking Oil (1L)</c:v>
                </c:pt>
                <c:pt idx="4">
                  <c:v>Noodles Pack</c:v>
                </c:pt>
                <c:pt idx="5">
                  <c:v>Milk</c:v>
                </c:pt>
                <c:pt idx="6">
                  <c:v>Sugar</c:v>
                </c:pt>
                <c:pt idx="7">
                  <c:v>Tomato Paste</c:v>
                </c:pt>
                <c:pt idx="8">
                  <c:v>Bread</c:v>
                </c:pt>
                <c:pt idx="9">
                  <c:v>Juice</c:v>
                </c:pt>
              </c:strCache>
            </c:strRef>
          </c:cat>
          <c:val>
            <c:numRef>
              <c:f>'Pivot tables'!$Q$4:$Q$13</c:f>
              <c:numCache>
                <c:formatCode>General</c:formatCode>
                <c:ptCount val="10"/>
                <c:pt idx="0">
                  <c:v>15608512.069999995</c:v>
                </c:pt>
                <c:pt idx="1">
                  <c:v>4882611.54</c:v>
                </c:pt>
                <c:pt idx="2">
                  <c:v>2998781.1099999989</c:v>
                </c:pt>
                <c:pt idx="3">
                  <c:v>2922801.8200000008</c:v>
                </c:pt>
                <c:pt idx="4">
                  <c:v>1441356.64</c:v>
                </c:pt>
                <c:pt idx="5">
                  <c:v>1433399.3499999994</c:v>
                </c:pt>
                <c:pt idx="6">
                  <c:v>894547.28000000014</c:v>
                </c:pt>
                <c:pt idx="7">
                  <c:v>882343.83000000007</c:v>
                </c:pt>
                <c:pt idx="8">
                  <c:v>799560.07</c:v>
                </c:pt>
                <c:pt idx="9">
                  <c:v>559366.27000000014</c:v>
                </c:pt>
              </c:numCache>
            </c:numRef>
          </c:val>
          <c:extLst>
            <c:ext xmlns:c15="http://schemas.microsoft.com/office/drawing/2012/chart" uri="{02D57815-91ED-43cb-92C2-25804820EDAC}">
              <c15:datalabelsRange>
                <c15:f>'Pivot tables'!$M$4:$M$13</c15:f>
                <c15:dlblRangeCache>
                  <c:ptCount val="10"/>
                  <c:pt idx="0">
                    <c:v>₦16M</c:v>
                  </c:pt>
                  <c:pt idx="1">
                    <c:v>₦5M</c:v>
                  </c:pt>
                  <c:pt idx="2">
                    <c:v>₦3M</c:v>
                  </c:pt>
                  <c:pt idx="3">
                    <c:v>₦3M</c:v>
                  </c:pt>
                  <c:pt idx="4">
                    <c:v>₦1M</c:v>
                  </c:pt>
                  <c:pt idx="5">
                    <c:v>₦1M</c:v>
                  </c:pt>
                  <c:pt idx="6">
                    <c:v>₦895K</c:v>
                  </c:pt>
                  <c:pt idx="7">
                    <c:v>₦882K</c:v>
                  </c:pt>
                  <c:pt idx="8">
                    <c:v>₦800K</c:v>
                  </c:pt>
                  <c:pt idx="9">
                    <c:v>₦559K</c:v>
                  </c:pt>
                </c15:dlblRangeCache>
              </c15:datalabelsRange>
            </c:ext>
            <c:ext xmlns:c16="http://schemas.microsoft.com/office/drawing/2014/chart" uri="{C3380CC4-5D6E-409C-BE32-E72D297353CC}">
              <c16:uniqueId val="{0000000A-4EE7-4D88-9C24-DF49BE7A5811}"/>
            </c:ext>
          </c:extLst>
        </c:ser>
        <c:ser>
          <c:idx val="1"/>
          <c:order val="1"/>
          <c:tx>
            <c:strRef>
              <c:f>'Pivot tables'!$R$3</c:f>
              <c:strCache>
                <c:ptCount val="1"/>
                <c:pt idx="0">
                  <c:v>Top</c:v>
                </c:pt>
              </c:strCache>
            </c:strRef>
          </c:tx>
          <c:spPr>
            <a:solidFill>
              <a:srgbClr val="00112E"/>
            </a:solidFill>
            <a:ln>
              <a:noFill/>
            </a:ln>
            <a:effectLst/>
          </c:spPr>
          <c:invertIfNegative val="0"/>
          <c:cat>
            <c:strRef>
              <c:f>'Pivot tables'!$P$4:$P$13</c:f>
              <c:strCache>
                <c:ptCount val="10"/>
                <c:pt idx="0">
                  <c:v>Rice (10kg)</c:v>
                </c:pt>
                <c:pt idx="1">
                  <c:v>Turkey</c:v>
                </c:pt>
                <c:pt idx="2">
                  <c:v>Eggs (crate)</c:v>
                </c:pt>
                <c:pt idx="3">
                  <c:v>Cooking Oil (1L)</c:v>
                </c:pt>
                <c:pt idx="4">
                  <c:v>Noodles Pack</c:v>
                </c:pt>
                <c:pt idx="5">
                  <c:v>Milk</c:v>
                </c:pt>
                <c:pt idx="6">
                  <c:v>Sugar</c:v>
                </c:pt>
                <c:pt idx="7">
                  <c:v>Tomato Paste</c:v>
                </c:pt>
                <c:pt idx="8">
                  <c:v>Bread</c:v>
                </c:pt>
                <c:pt idx="9">
                  <c:v>Juice</c:v>
                </c:pt>
              </c:strCache>
            </c:strRef>
          </c:cat>
          <c:val>
            <c:numRef>
              <c:f>'Pivot tables'!$R$4:$R$13</c:f>
              <c:numCache>
                <c:formatCode>General</c:formatCode>
                <c:ptCount val="10"/>
                <c:pt idx="0">
                  <c:v>15608512.069999995</c:v>
                </c:pt>
                <c:pt idx="1">
                  <c:v>4882611.54</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B-4EE7-4D88-9C24-DF49BE7A5811}"/>
            </c:ext>
          </c:extLst>
        </c:ser>
        <c:dLbls>
          <c:showLegendKey val="0"/>
          <c:showVal val="0"/>
          <c:showCatName val="0"/>
          <c:showSerName val="0"/>
          <c:showPercent val="0"/>
          <c:showBubbleSize val="0"/>
        </c:dLbls>
        <c:gapWidth val="42"/>
        <c:overlap val="100"/>
        <c:axId val="466276296"/>
        <c:axId val="466273416"/>
      </c:barChart>
      <c:catAx>
        <c:axId val="4662762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66273416"/>
        <c:crosses val="autoZero"/>
        <c:auto val="1"/>
        <c:lblAlgn val="ctr"/>
        <c:lblOffset val="100"/>
        <c:noMultiLvlLbl val="0"/>
      </c:catAx>
      <c:valAx>
        <c:axId val="466273416"/>
        <c:scaling>
          <c:orientation val="minMax"/>
        </c:scaling>
        <c:delete val="1"/>
        <c:axPos val="t"/>
        <c:numFmt formatCode="General" sourceLinked="1"/>
        <c:majorTickMark val="none"/>
        <c:minorTickMark val="none"/>
        <c:tickLblPos val="nextTo"/>
        <c:crossAx val="466276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392477974512435E-2"/>
          <c:y val="5.2948235046198E-2"/>
          <c:w val="0.90927027332601951"/>
          <c:h val="0.63863606559365316"/>
        </c:manualLayout>
      </c:layout>
      <c:barChart>
        <c:barDir val="col"/>
        <c:grouping val="clustered"/>
        <c:varyColors val="0"/>
        <c:ser>
          <c:idx val="0"/>
          <c:order val="0"/>
          <c:tx>
            <c:strRef>
              <c:f>'Pivot tables'!$AD$3</c:f>
              <c:strCache>
                <c:ptCount val="1"/>
                <c:pt idx="0">
                  <c:v>Others Sales</c:v>
                </c:pt>
              </c:strCache>
            </c:strRef>
          </c:tx>
          <c:spPr>
            <a:solidFill>
              <a:srgbClr val="00112E"/>
            </a:solidFill>
            <a:ln>
              <a:noFill/>
            </a:ln>
            <a:effectLst/>
          </c:spPr>
          <c:invertIfNegative val="0"/>
          <c:dLbls>
            <c:dLbl>
              <c:idx val="0"/>
              <c:tx>
                <c:rich>
                  <a:bodyPr/>
                  <a:lstStyle/>
                  <a:p>
                    <a:fld id="{2844D42C-DB81-455A-AE5E-B3A08507444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4C3-4407-B104-7E5C0EA4930F}"/>
                </c:ext>
              </c:extLst>
            </c:dLbl>
            <c:dLbl>
              <c:idx val="1"/>
              <c:tx>
                <c:rich>
                  <a:bodyPr/>
                  <a:lstStyle/>
                  <a:p>
                    <a:fld id="{411B0E41-4B32-4308-9D75-D4685B5B5C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4C3-4407-B104-7E5C0EA4930F}"/>
                </c:ext>
              </c:extLst>
            </c:dLbl>
            <c:dLbl>
              <c:idx val="2"/>
              <c:tx>
                <c:rich>
                  <a:bodyPr/>
                  <a:lstStyle/>
                  <a:p>
                    <a:fld id="{0336DA95-2F36-44CB-89C6-5BF1781C07E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4C3-4407-B104-7E5C0EA4930F}"/>
                </c:ext>
              </c:extLst>
            </c:dLbl>
            <c:dLbl>
              <c:idx val="3"/>
              <c:tx>
                <c:rich>
                  <a:bodyPr/>
                  <a:lstStyle/>
                  <a:p>
                    <a:fld id="{7516B083-0F4C-4F95-B565-9A11F8F5536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4C3-4407-B104-7E5C0EA4930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tables'!$AC$4:$AC$7</c:f>
              <c:strCache>
                <c:ptCount val="4"/>
                <c:pt idx="0">
                  <c:v>Kano</c:v>
                </c:pt>
                <c:pt idx="1">
                  <c:v>Port Harcourt</c:v>
                </c:pt>
                <c:pt idx="2">
                  <c:v>Abuja</c:v>
                </c:pt>
                <c:pt idx="3">
                  <c:v>Lagos</c:v>
                </c:pt>
              </c:strCache>
            </c:strRef>
          </c:cat>
          <c:val>
            <c:numRef>
              <c:f>'Pivot tables'!$AD$4:$AD$7</c:f>
              <c:numCache>
                <c:formatCode>General</c:formatCode>
                <c:ptCount val="4"/>
                <c:pt idx="0">
                  <c:v>9639115.8800000027</c:v>
                </c:pt>
                <c:pt idx="1">
                  <c:v>7777902.0900000026</c:v>
                </c:pt>
                <c:pt idx="2">
                  <c:v>7773322.4100000029</c:v>
                </c:pt>
                <c:pt idx="3">
                  <c:v>7232939.6000000015</c:v>
                </c:pt>
              </c:numCache>
            </c:numRef>
          </c:val>
          <c:extLst>
            <c:ext xmlns:c15="http://schemas.microsoft.com/office/drawing/2012/chart" uri="{02D57815-91ED-43cb-92C2-25804820EDAC}">
              <c15:datalabelsRange>
                <c15:f>'Pivot tables'!$AA$4:$AA$7</c15:f>
                <c15:dlblRangeCache>
                  <c:ptCount val="4"/>
                  <c:pt idx="0">
                    <c:v>₦10M</c:v>
                  </c:pt>
                  <c:pt idx="1">
                    <c:v>₦8M</c:v>
                  </c:pt>
                  <c:pt idx="2">
                    <c:v>₦8M</c:v>
                  </c:pt>
                  <c:pt idx="3">
                    <c:v>₦7M</c:v>
                  </c:pt>
                </c15:dlblRangeCache>
              </c15:datalabelsRange>
            </c:ext>
            <c:ext xmlns:c16="http://schemas.microsoft.com/office/drawing/2014/chart" uri="{C3380CC4-5D6E-409C-BE32-E72D297353CC}">
              <c16:uniqueId val="{00000004-44C3-4407-B104-7E5C0EA4930F}"/>
            </c:ext>
          </c:extLst>
        </c:ser>
        <c:ser>
          <c:idx val="1"/>
          <c:order val="1"/>
          <c:tx>
            <c:strRef>
              <c:f>'Pivot tables'!$AE$3</c:f>
              <c:strCache>
                <c:ptCount val="1"/>
                <c:pt idx="0">
                  <c:v>under performing</c:v>
                </c:pt>
              </c:strCache>
            </c:strRef>
          </c:tx>
          <c:spPr>
            <a:solidFill>
              <a:srgbClr val="C00000"/>
            </a:solidFill>
            <a:ln>
              <a:noFill/>
            </a:ln>
            <a:effectLst/>
          </c:spPr>
          <c:invertIfNegative val="0"/>
          <c:cat>
            <c:strRef>
              <c:f>'Pivot tables'!$AC$4:$AC$7</c:f>
              <c:strCache>
                <c:ptCount val="4"/>
                <c:pt idx="0">
                  <c:v>Kano</c:v>
                </c:pt>
                <c:pt idx="1">
                  <c:v>Port Harcourt</c:v>
                </c:pt>
                <c:pt idx="2">
                  <c:v>Abuja</c:v>
                </c:pt>
                <c:pt idx="3">
                  <c:v>Lagos</c:v>
                </c:pt>
              </c:strCache>
            </c:strRef>
          </c:cat>
          <c:val>
            <c:numRef>
              <c:f>'Pivot tables'!$AE$4:$AE$7</c:f>
              <c:numCache>
                <c:formatCode>General</c:formatCode>
                <c:ptCount val="4"/>
                <c:pt idx="0">
                  <c:v>0</c:v>
                </c:pt>
                <c:pt idx="1">
                  <c:v>0</c:v>
                </c:pt>
                <c:pt idx="2">
                  <c:v>0</c:v>
                </c:pt>
                <c:pt idx="3">
                  <c:v>7232939.6000000015</c:v>
                </c:pt>
              </c:numCache>
            </c:numRef>
          </c:val>
          <c:extLst>
            <c:ext xmlns:c16="http://schemas.microsoft.com/office/drawing/2014/chart" uri="{C3380CC4-5D6E-409C-BE32-E72D297353CC}">
              <c16:uniqueId val="{00000005-44C3-4407-B104-7E5C0EA4930F}"/>
            </c:ext>
          </c:extLst>
        </c:ser>
        <c:dLbls>
          <c:showLegendKey val="0"/>
          <c:showVal val="0"/>
          <c:showCatName val="0"/>
          <c:showSerName val="0"/>
          <c:showPercent val="0"/>
          <c:showBubbleSize val="0"/>
        </c:dLbls>
        <c:gapWidth val="90"/>
        <c:overlap val="100"/>
        <c:axId val="577967664"/>
        <c:axId val="577969104"/>
      </c:barChart>
      <c:catAx>
        <c:axId val="57796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969104"/>
        <c:crosses val="autoZero"/>
        <c:auto val="1"/>
        <c:lblAlgn val="ctr"/>
        <c:lblOffset val="100"/>
        <c:noMultiLvlLbl val="0"/>
      </c:catAx>
      <c:valAx>
        <c:axId val="577969104"/>
        <c:scaling>
          <c:orientation val="minMax"/>
        </c:scaling>
        <c:delete val="1"/>
        <c:axPos val="l"/>
        <c:numFmt formatCode="General" sourceLinked="1"/>
        <c:majorTickMark val="none"/>
        <c:minorTickMark val="none"/>
        <c:tickLblPos val="nextTo"/>
        <c:crossAx val="577967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814838261795396E-2"/>
          <c:y val="8.199353833090918E-2"/>
          <c:w val="0.95372379940360186"/>
          <c:h val="0.68595485359996788"/>
        </c:manualLayout>
      </c:layout>
      <c:barChart>
        <c:barDir val="col"/>
        <c:grouping val="clustered"/>
        <c:varyColors val="0"/>
        <c:ser>
          <c:idx val="0"/>
          <c:order val="0"/>
          <c:tx>
            <c:strRef>
              <c:f>'Pivot tables'!$AX$3</c:f>
              <c:strCache>
                <c:ptCount val="1"/>
                <c:pt idx="0">
                  <c:v>Others</c:v>
                </c:pt>
              </c:strCache>
            </c:strRef>
          </c:tx>
          <c:spPr>
            <a:solidFill>
              <a:schemeClr val="accent1">
                <a:lumMod val="60000"/>
                <a:lumOff val="40000"/>
              </a:schemeClr>
            </a:solidFill>
            <a:ln>
              <a:noFill/>
            </a:ln>
            <a:effectLst/>
          </c:spPr>
          <c:invertIfNegative val="0"/>
          <c:dPt>
            <c:idx val="2"/>
            <c:invertIfNegative val="0"/>
            <c:bubble3D val="0"/>
            <c:spPr>
              <a:solidFill>
                <a:srgbClr val="0070C0"/>
              </a:solidFill>
              <a:ln>
                <a:noFill/>
              </a:ln>
              <a:effectLst/>
            </c:spPr>
            <c:extLst>
              <c:ext xmlns:c16="http://schemas.microsoft.com/office/drawing/2014/chart" uri="{C3380CC4-5D6E-409C-BE32-E72D297353CC}">
                <c16:uniqueId val="{00000002-A510-417F-9EA2-06CE55FE57B8}"/>
              </c:ext>
            </c:extLst>
          </c:dPt>
          <c:dPt>
            <c:idx val="3"/>
            <c:invertIfNegative val="0"/>
            <c:bubble3D val="0"/>
            <c:spPr>
              <a:solidFill>
                <a:srgbClr val="0070C0"/>
              </a:solidFill>
              <a:ln>
                <a:noFill/>
              </a:ln>
              <a:effectLst/>
            </c:spPr>
            <c:extLst>
              <c:ext xmlns:c16="http://schemas.microsoft.com/office/drawing/2014/chart" uri="{C3380CC4-5D6E-409C-BE32-E72D297353CC}">
                <c16:uniqueId val="{00000003-A510-417F-9EA2-06CE55FE57B8}"/>
              </c:ext>
            </c:extLst>
          </c:dPt>
          <c:dPt>
            <c:idx val="4"/>
            <c:invertIfNegative val="0"/>
            <c:bubble3D val="0"/>
            <c:spPr>
              <a:solidFill>
                <a:srgbClr val="0070C0"/>
              </a:solidFill>
              <a:ln>
                <a:noFill/>
              </a:ln>
              <a:effectLst/>
            </c:spPr>
            <c:extLst>
              <c:ext xmlns:c16="http://schemas.microsoft.com/office/drawing/2014/chart" uri="{C3380CC4-5D6E-409C-BE32-E72D297353CC}">
                <c16:uniqueId val="{00000004-A510-417F-9EA2-06CE55FE57B8}"/>
              </c:ext>
            </c:extLst>
          </c:dPt>
          <c:dPt>
            <c:idx val="5"/>
            <c:invertIfNegative val="0"/>
            <c:bubble3D val="0"/>
            <c:spPr>
              <a:solidFill>
                <a:srgbClr val="0070C0"/>
              </a:solidFill>
              <a:ln>
                <a:noFill/>
              </a:ln>
              <a:effectLst/>
            </c:spPr>
            <c:extLst>
              <c:ext xmlns:c16="http://schemas.microsoft.com/office/drawing/2014/chart" uri="{C3380CC4-5D6E-409C-BE32-E72D297353CC}">
                <c16:uniqueId val="{00000005-A510-417F-9EA2-06CE55FE57B8}"/>
              </c:ext>
            </c:extLst>
          </c:dPt>
          <c:dPt>
            <c:idx val="6"/>
            <c:invertIfNegative val="0"/>
            <c:bubble3D val="0"/>
            <c:spPr>
              <a:solidFill>
                <a:srgbClr val="0070C0"/>
              </a:solidFill>
              <a:ln>
                <a:noFill/>
              </a:ln>
              <a:effectLst/>
            </c:spPr>
            <c:extLst>
              <c:ext xmlns:c16="http://schemas.microsoft.com/office/drawing/2014/chart" uri="{C3380CC4-5D6E-409C-BE32-E72D297353CC}">
                <c16:uniqueId val="{00000006-A510-417F-9EA2-06CE55FE57B8}"/>
              </c:ext>
            </c:extLst>
          </c:dPt>
          <c:dLbls>
            <c:dLbl>
              <c:idx val="0"/>
              <c:tx>
                <c:rich>
                  <a:bodyPr/>
                  <a:lstStyle/>
                  <a:p>
                    <a:fld id="{BD44BCD5-836E-4EF8-B51F-1CB06FDBD1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510-417F-9EA2-06CE55FE57B8}"/>
                </c:ext>
              </c:extLst>
            </c:dLbl>
            <c:dLbl>
              <c:idx val="1"/>
              <c:tx>
                <c:rich>
                  <a:bodyPr/>
                  <a:lstStyle/>
                  <a:p>
                    <a:fld id="{62D4072C-B70A-4636-9E88-479CE5BAD08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510-417F-9EA2-06CE55FE57B8}"/>
                </c:ext>
              </c:extLst>
            </c:dLbl>
            <c:dLbl>
              <c:idx val="2"/>
              <c:tx>
                <c:rich>
                  <a:bodyPr/>
                  <a:lstStyle/>
                  <a:p>
                    <a:fld id="{6B4C88C9-66D4-401D-8270-D0CBD7804B9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510-417F-9EA2-06CE55FE57B8}"/>
                </c:ext>
              </c:extLst>
            </c:dLbl>
            <c:dLbl>
              <c:idx val="3"/>
              <c:tx>
                <c:rich>
                  <a:bodyPr/>
                  <a:lstStyle/>
                  <a:p>
                    <a:fld id="{51049234-E9F7-4A21-B7EA-AEFCB13249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510-417F-9EA2-06CE55FE57B8}"/>
                </c:ext>
              </c:extLst>
            </c:dLbl>
            <c:dLbl>
              <c:idx val="4"/>
              <c:tx>
                <c:rich>
                  <a:bodyPr/>
                  <a:lstStyle/>
                  <a:p>
                    <a:fld id="{4F418185-B0F7-4233-A375-072D2F0A31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510-417F-9EA2-06CE55FE57B8}"/>
                </c:ext>
              </c:extLst>
            </c:dLbl>
            <c:dLbl>
              <c:idx val="5"/>
              <c:tx>
                <c:rich>
                  <a:bodyPr/>
                  <a:lstStyle/>
                  <a:p>
                    <a:fld id="{5D31C89E-57F3-4CE5-917F-7CB9C5BBF07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510-417F-9EA2-06CE55FE57B8}"/>
                </c:ext>
              </c:extLst>
            </c:dLbl>
            <c:dLbl>
              <c:idx val="6"/>
              <c:tx>
                <c:rich>
                  <a:bodyPr/>
                  <a:lstStyle/>
                  <a:p>
                    <a:fld id="{2C30F777-3753-4479-8D86-232AAC6654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510-417F-9EA2-06CE55FE57B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tables'!$AW$4:$AW$10</c:f>
              <c:strCache>
                <c:ptCount val="7"/>
                <c:pt idx="0">
                  <c:v>Sun</c:v>
                </c:pt>
                <c:pt idx="1">
                  <c:v>Fri</c:v>
                </c:pt>
                <c:pt idx="2">
                  <c:v>Mon</c:v>
                </c:pt>
                <c:pt idx="3">
                  <c:v>Tue</c:v>
                </c:pt>
                <c:pt idx="4">
                  <c:v>Wed</c:v>
                </c:pt>
                <c:pt idx="5">
                  <c:v>Sat</c:v>
                </c:pt>
                <c:pt idx="6">
                  <c:v>Thu</c:v>
                </c:pt>
              </c:strCache>
            </c:strRef>
          </c:cat>
          <c:val>
            <c:numRef>
              <c:f>'Pivot tables'!$AX$4:$AX$10</c:f>
              <c:numCache>
                <c:formatCode>General</c:formatCode>
                <c:ptCount val="7"/>
                <c:pt idx="0">
                  <c:v>5450836.1200000029</c:v>
                </c:pt>
                <c:pt idx="1">
                  <c:v>4914556.41</c:v>
                </c:pt>
                <c:pt idx="2">
                  <c:v>4667127.1000000006</c:v>
                </c:pt>
                <c:pt idx="3">
                  <c:v>4610390.8999999985</c:v>
                </c:pt>
                <c:pt idx="4">
                  <c:v>4519640.669999999</c:v>
                </c:pt>
                <c:pt idx="5">
                  <c:v>4342370.9200000018</c:v>
                </c:pt>
                <c:pt idx="6">
                  <c:v>3918357.86</c:v>
                </c:pt>
              </c:numCache>
            </c:numRef>
          </c:val>
          <c:extLst>
            <c:ext xmlns:c15="http://schemas.microsoft.com/office/drawing/2012/chart" uri="{02D57815-91ED-43cb-92C2-25804820EDAC}">
              <c15:datalabelsRange>
                <c15:f>'Pivot tables'!$AU$4:$AU$10</c15:f>
                <c15:dlblRangeCache>
                  <c:ptCount val="7"/>
                  <c:pt idx="0">
                    <c:v>₦5M</c:v>
                  </c:pt>
                  <c:pt idx="1">
                    <c:v>₦5M</c:v>
                  </c:pt>
                  <c:pt idx="2">
                    <c:v>₦5M</c:v>
                  </c:pt>
                  <c:pt idx="3">
                    <c:v>₦5M</c:v>
                  </c:pt>
                  <c:pt idx="4">
                    <c:v>₦5M</c:v>
                  </c:pt>
                  <c:pt idx="5">
                    <c:v>₦4M</c:v>
                  </c:pt>
                  <c:pt idx="6">
                    <c:v>₦4M</c:v>
                  </c:pt>
                </c15:dlblRangeCache>
              </c15:datalabelsRange>
            </c:ext>
            <c:ext xmlns:c16="http://schemas.microsoft.com/office/drawing/2014/chart" uri="{C3380CC4-5D6E-409C-BE32-E72D297353CC}">
              <c16:uniqueId val="{00000007-A510-417F-9EA2-06CE55FE57B8}"/>
            </c:ext>
          </c:extLst>
        </c:ser>
        <c:ser>
          <c:idx val="1"/>
          <c:order val="1"/>
          <c:tx>
            <c:strRef>
              <c:f>'Pivot tables'!$AY$3</c:f>
              <c:strCache>
                <c:ptCount val="1"/>
                <c:pt idx="0">
                  <c:v>Top 2 performing days</c:v>
                </c:pt>
              </c:strCache>
            </c:strRef>
          </c:tx>
          <c:spPr>
            <a:solidFill>
              <a:srgbClr val="00112E"/>
            </a:solidFill>
            <a:ln>
              <a:noFill/>
            </a:ln>
            <a:effectLst/>
          </c:spPr>
          <c:invertIfNegative val="0"/>
          <c:cat>
            <c:strRef>
              <c:f>'Pivot tables'!$AW$4:$AW$10</c:f>
              <c:strCache>
                <c:ptCount val="7"/>
                <c:pt idx="0">
                  <c:v>Sun</c:v>
                </c:pt>
                <c:pt idx="1">
                  <c:v>Fri</c:v>
                </c:pt>
                <c:pt idx="2">
                  <c:v>Mon</c:v>
                </c:pt>
                <c:pt idx="3">
                  <c:v>Tue</c:v>
                </c:pt>
                <c:pt idx="4">
                  <c:v>Wed</c:v>
                </c:pt>
                <c:pt idx="5">
                  <c:v>Sat</c:v>
                </c:pt>
                <c:pt idx="6">
                  <c:v>Thu</c:v>
                </c:pt>
              </c:strCache>
            </c:strRef>
          </c:cat>
          <c:val>
            <c:numRef>
              <c:f>'Pivot tables'!$AY$4:$AY$10</c:f>
              <c:numCache>
                <c:formatCode>General</c:formatCode>
                <c:ptCount val="7"/>
                <c:pt idx="0">
                  <c:v>5450836.1200000029</c:v>
                </c:pt>
                <c:pt idx="1">
                  <c:v>4914556.41</c:v>
                </c:pt>
                <c:pt idx="2">
                  <c:v>0</c:v>
                </c:pt>
                <c:pt idx="3">
                  <c:v>0</c:v>
                </c:pt>
                <c:pt idx="4">
                  <c:v>0</c:v>
                </c:pt>
                <c:pt idx="5">
                  <c:v>0</c:v>
                </c:pt>
                <c:pt idx="6">
                  <c:v>0</c:v>
                </c:pt>
              </c:numCache>
            </c:numRef>
          </c:val>
          <c:extLst>
            <c:ext xmlns:c16="http://schemas.microsoft.com/office/drawing/2014/chart" uri="{C3380CC4-5D6E-409C-BE32-E72D297353CC}">
              <c16:uniqueId val="{00000008-A510-417F-9EA2-06CE55FE57B8}"/>
            </c:ext>
          </c:extLst>
        </c:ser>
        <c:dLbls>
          <c:showLegendKey val="0"/>
          <c:showVal val="0"/>
          <c:showCatName val="0"/>
          <c:showSerName val="0"/>
          <c:showPercent val="0"/>
          <c:showBubbleSize val="0"/>
        </c:dLbls>
        <c:gapWidth val="90"/>
        <c:overlap val="100"/>
        <c:axId val="576655960"/>
        <c:axId val="576653800"/>
      </c:barChart>
      <c:catAx>
        <c:axId val="576655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53800"/>
        <c:crosses val="autoZero"/>
        <c:auto val="1"/>
        <c:lblAlgn val="ctr"/>
        <c:lblOffset val="100"/>
        <c:noMultiLvlLbl val="0"/>
      </c:catAx>
      <c:valAx>
        <c:axId val="576653800"/>
        <c:scaling>
          <c:orientation val="minMax"/>
        </c:scaling>
        <c:delete val="1"/>
        <c:axPos val="l"/>
        <c:numFmt formatCode="General" sourceLinked="1"/>
        <c:majorTickMark val="none"/>
        <c:minorTickMark val="none"/>
        <c:tickLblPos val="nextTo"/>
        <c:crossAx val="576655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'Pivot tables'!$BH$3</c:f>
              <c:strCache>
                <c:ptCount val="1"/>
                <c:pt idx="0">
                  <c:v> Sales Amount</c:v>
                </c:pt>
              </c:strCache>
            </c:strRef>
          </c:tx>
          <c:spPr>
            <a:ln w="28575" cap="rnd">
              <a:solidFill>
                <a:srgbClr val="0070C0"/>
              </a:solidFill>
              <a:round/>
            </a:ln>
            <a:effectLst/>
          </c:spPr>
          <c:marker>
            <c:symbol val="none"/>
          </c:marker>
          <c:dPt>
            <c:idx val="1"/>
            <c:marker>
              <c:symbol val="none"/>
            </c:marker>
            <c:bubble3D val="0"/>
            <c:extLst>
              <c:ext xmlns:c16="http://schemas.microsoft.com/office/drawing/2014/chart" uri="{C3380CC4-5D6E-409C-BE32-E72D297353CC}">
                <c16:uniqueId val="{00000000-6A21-4A49-B9D8-5ED7E5BE7AE5}"/>
              </c:ext>
            </c:extLst>
          </c:dPt>
          <c:dPt>
            <c:idx val="2"/>
            <c:marker>
              <c:symbol val="none"/>
            </c:marker>
            <c:bubble3D val="0"/>
            <c:extLst>
              <c:ext xmlns:c16="http://schemas.microsoft.com/office/drawing/2014/chart" uri="{C3380CC4-5D6E-409C-BE32-E72D297353CC}">
                <c16:uniqueId val="{00000001-6A21-4A49-B9D8-5ED7E5BE7AE5}"/>
              </c:ext>
            </c:extLst>
          </c:dPt>
          <c:dPt>
            <c:idx val="3"/>
            <c:marker>
              <c:symbol val="none"/>
            </c:marker>
            <c:bubble3D val="0"/>
            <c:extLst>
              <c:ext xmlns:c16="http://schemas.microsoft.com/office/drawing/2014/chart" uri="{C3380CC4-5D6E-409C-BE32-E72D297353CC}">
                <c16:uniqueId val="{00000002-6A21-4A49-B9D8-5ED7E5BE7AE5}"/>
              </c:ext>
            </c:extLst>
          </c:dPt>
          <c:dPt>
            <c:idx val="4"/>
            <c:marker>
              <c:symbol val="none"/>
            </c:marker>
            <c:bubble3D val="0"/>
            <c:extLst>
              <c:ext xmlns:c16="http://schemas.microsoft.com/office/drawing/2014/chart" uri="{C3380CC4-5D6E-409C-BE32-E72D297353CC}">
                <c16:uniqueId val="{00000003-6A21-4A49-B9D8-5ED7E5BE7AE5}"/>
              </c:ext>
            </c:extLst>
          </c:dPt>
          <c:dPt>
            <c:idx val="5"/>
            <c:marker>
              <c:symbol val="none"/>
            </c:marker>
            <c:bubble3D val="0"/>
            <c:extLst>
              <c:ext xmlns:c16="http://schemas.microsoft.com/office/drawing/2014/chart" uri="{C3380CC4-5D6E-409C-BE32-E72D297353CC}">
                <c16:uniqueId val="{00000004-6A21-4A49-B9D8-5ED7E5BE7AE5}"/>
              </c:ext>
            </c:extLst>
          </c:dPt>
          <c:dPt>
            <c:idx val="6"/>
            <c:marker>
              <c:symbol val="none"/>
            </c:marker>
            <c:bubble3D val="0"/>
            <c:extLst>
              <c:ext xmlns:c16="http://schemas.microsoft.com/office/drawing/2014/chart" uri="{C3380CC4-5D6E-409C-BE32-E72D297353CC}">
                <c16:uniqueId val="{00000005-6A21-4A49-B9D8-5ED7E5BE7AE5}"/>
              </c:ext>
            </c:extLst>
          </c:dPt>
          <c:dPt>
            <c:idx val="7"/>
            <c:marker>
              <c:symbol val="none"/>
            </c:marker>
            <c:bubble3D val="0"/>
            <c:extLst>
              <c:ext xmlns:c16="http://schemas.microsoft.com/office/drawing/2014/chart" uri="{C3380CC4-5D6E-409C-BE32-E72D297353CC}">
                <c16:uniqueId val="{00000006-6A21-4A49-B9D8-5ED7E5BE7AE5}"/>
              </c:ext>
            </c:extLst>
          </c:dPt>
          <c:dPt>
            <c:idx val="8"/>
            <c:marker>
              <c:symbol val="none"/>
            </c:marker>
            <c:bubble3D val="0"/>
            <c:extLst>
              <c:ext xmlns:c16="http://schemas.microsoft.com/office/drawing/2014/chart" uri="{C3380CC4-5D6E-409C-BE32-E72D297353CC}">
                <c16:uniqueId val="{00000007-6A21-4A49-B9D8-5ED7E5BE7AE5}"/>
              </c:ext>
            </c:extLst>
          </c:dPt>
          <c:dPt>
            <c:idx val="9"/>
            <c:marker>
              <c:symbol val="none"/>
            </c:marker>
            <c:bubble3D val="0"/>
            <c:extLst>
              <c:ext xmlns:c16="http://schemas.microsoft.com/office/drawing/2014/chart" uri="{C3380CC4-5D6E-409C-BE32-E72D297353CC}">
                <c16:uniqueId val="{00000008-6A21-4A49-B9D8-5ED7E5BE7AE5}"/>
              </c:ext>
            </c:extLst>
          </c:dPt>
          <c:dPt>
            <c:idx val="10"/>
            <c:marker>
              <c:symbol val="none"/>
            </c:marker>
            <c:bubble3D val="0"/>
            <c:extLst>
              <c:ext xmlns:c16="http://schemas.microsoft.com/office/drawing/2014/chart" uri="{C3380CC4-5D6E-409C-BE32-E72D297353CC}">
                <c16:uniqueId val="{00000009-6A21-4A49-B9D8-5ED7E5BE7AE5}"/>
              </c:ext>
            </c:extLst>
          </c:dPt>
          <c:dLbls>
            <c:dLbl>
              <c:idx val="0"/>
              <c:tx>
                <c:rich>
                  <a:bodyPr/>
                  <a:lstStyle/>
                  <a:p>
                    <a:fld id="{79A49E3A-0031-4EFC-B688-4AA94C96CB7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A21-4A49-B9D8-5ED7E5BE7AE5}"/>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6A21-4A49-B9D8-5ED7E5BE7AE5}"/>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6A21-4A49-B9D8-5ED7E5BE7AE5}"/>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A21-4A49-B9D8-5ED7E5BE7AE5}"/>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6A21-4A49-B9D8-5ED7E5BE7AE5}"/>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6A21-4A49-B9D8-5ED7E5BE7AE5}"/>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A21-4A49-B9D8-5ED7E5BE7AE5}"/>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6A21-4A49-B9D8-5ED7E5BE7AE5}"/>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A21-4A49-B9D8-5ED7E5BE7AE5}"/>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6A21-4A49-B9D8-5ED7E5BE7AE5}"/>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6A21-4A49-B9D8-5ED7E5BE7AE5}"/>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A21-4A49-B9D8-5ED7E5BE7AE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C00000"/>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tables'!$BG$4:$BG$15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tables'!$BH$4:$BH$15</c:f>
              <c:numCache>
                <c:formatCode>General</c:formatCode>
                <c:ptCount val="12"/>
                <c:pt idx="0">
                  <c:v>1855882.5999999996</c:v>
                </c:pt>
                <c:pt idx="1">
                  <c:v>2252704.8199999998</c:v>
                </c:pt>
                <c:pt idx="2">
                  <c:v>2749743.6399999997</c:v>
                </c:pt>
                <c:pt idx="3">
                  <c:v>3570278.61</c:v>
                </c:pt>
                <c:pt idx="4">
                  <c:v>2412453.2200000002</c:v>
                </c:pt>
                <c:pt idx="5">
                  <c:v>2686881.93</c:v>
                </c:pt>
                <c:pt idx="6">
                  <c:v>2271345.2400000002</c:v>
                </c:pt>
                <c:pt idx="7">
                  <c:v>4301440.6499999994</c:v>
                </c:pt>
                <c:pt idx="8">
                  <c:v>2037453.45</c:v>
                </c:pt>
                <c:pt idx="9">
                  <c:v>2741577.6799999992</c:v>
                </c:pt>
                <c:pt idx="10">
                  <c:v>2932471.4899999998</c:v>
                </c:pt>
                <c:pt idx="11">
                  <c:v>2611046.649999999</c:v>
                </c:pt>
              </c:numCache>
            </c:numRef>
          </c:val>
          <c:smooth val="1"/>
          <c:extLst>
            <c:ext xmlns:c15="http://schemas.microsoft.com/office/drawing/2012/chart" uri="{02D57815-91ED-43cb-92C2-25804820EDAC}">
              <c15:datalabelsRange>
                <c15:f>'Pivot tables'!$BE$4</c15:f>
                <c15:dlblRangeCache>
                  <c:ptCount val="1"/>
                  <c:pt idx="0">
                    <c:v>₦2M</c:v>
                  </c:pt>
                </c15:dlblRangeCache>
              </c15:datalabelsRange>
            </c:ext>
            <c:ext xmlns:c16="http://schemas.microsoft.com/office/drawing/2014/chart" uri="{C3380CC4-5D6E-409C-BE32-E72D297353CC}">
              <c16:uniqueId val="{0000000C-6A21-4A49-B9D8-5ED7E5BE7AE5}"/>
            </c:ext>
          </c:extLst>
        </c:ser>
        <c:ser>
          <c:idx val="1"/>
          <c:order val="1"/>
          <c:tx>
            <c:v>Top performing month</c:v>
          </c:tx>
          <c:spPr>
            <a:ln w="28575" cap="rnd">
              <a:noFill/>
              <a:round/>
            </a:ln>
            <a:effectLst/>
          </c:spPr>
          <c:marker>
            <c:symbol val="circle"/>
            <c:size val="8"/>
            <c:spPr>
              <a:solidFill>
                <a:srgbClr val="00112E"/>
              </a:solid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A21-4A49-B9D8-5ED7E5BE7AE5}"/>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6A21-4A49-B9D8-5ED7E5BE7AE5}"/>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6A21-4A49-B9D8-5ED7E5BE7AE5}"/>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6A21-4A49-B9D8-5ED7E5BE7AE5}"/>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6A21-4A49-B9D8-5ED7E5BE7AE5}"/>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6A21-4A49-B9D8-5ED7E5BE7AE5}"/>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6A21-4A49-B9D8-5ED7E5BE7AE5}"/>
                </c:ext>
              </c:extLst>
            </c:dLbl>
            <c:dLbl>
              <c:idx val="7"/>
              <c:tx>
                <c:rich>
                  <a:bodyPr/>
                  <a:lstStyle/>
                  <a:p>
                    <a:fld id="{F2939780-11DC-43FE-A46E-C355B016D57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A21-4A49-B9D8-5ED7E5BE7AE5}"/>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6A21-4A49-B9D8-5ED7E5BE7AE5}"/>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6A21-4A49-B9D8-5ED7E5BE7AE5}"/>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6A21-4A49-B9D8-5ED7E5BE7AE5}"/>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6A21-4A49-B9D8-5ED7E5BE7AE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112E"/>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'Pivot tables'!$BI$4:$BI$15</c:f>
              <c:numCache>
                <c:formatCode>General</c:formatCode>
                <c:ptCount val="12"/>
                <c:pt idx="0">
                  <c:v>#N/A</c:v>
                </c:pt>
                <c:pt idx="1">
                  <c:v>#N/A</c:v>
                </c:pt>
                <c:pt idx="2">
                  <c:v>#N/A</c:v>
                </c:pt>
                <c:pt idx="3">
                  <c:v>#N/A</c:v>
                </c:pt>
                <c:pt idx="4">
                  <c:v>#N/A</c:v>
                </c:pt>
                <c:pt idx="5">
                  <c:v>#N/A</c:v>
                </c:pt>
                <c:pt idx="6">
                  <c:v>#N/A</c:v>
                </c:pt>
                <c:pt idx="7">
                  <c:v>4301440.6499999994</c:v>
                </c:pt>
                <c:pt idx="8">
                  <c:v>#N/A</c:v>
                </c:pt>
                <c:pt idx="9">
                  <c:v>#N/A</c:v>
                </c:pt>
                <c:pt idx="10">
                  <c:v>#N/A</c:v>
                </c:pt>
                <c:pt idx="11">
                  <c:v>#N/A</c:v>
                </c:pt>
              </c:numCache>
            </c:numRef>
          </c:val>
          <c:smooth val="0"/>
          <c:extLst>
            <c:ext xmlns:c15="http://schemas.microsoft.com/office/drawing/2012/chart" uri="{02D57815-91ED-43cb-92C2-25804820EDAC}">
              <c15:datalabelsRange>
                <c15:f>'Pivot tables'!$BE$4:$BE$15</c15:f>
                <c15:dlblRangeCache>
                  <c:ptCount val="12"/>
                  <c:pt idx="0">
                    <c:v>₦2M</c:v>
                  </c:pt>
                  <c:pt idx="1">
                    <c:v>₦2M</c:v>
                  </c:pt>
                  <c:pt idx="2">
                    <c:v>₦3M</c:v>
                  </c:pt>
                  <c:pt idx="3">
                    <c:v>₦4M</c:v>
                  </c:pt>
                  <c:pt idx="4">
                    <c:v>₦2M</c:v>
                  </c:pt>
                  <c:pt idx="5">
                    <c:v>₦3M</c:v>
                  </c:pt>
                  <c:pt idx="6">
                    <c:v>₦2M</c:v>
                  </c:pt>
                  <c:pt idx="7">
                    <c:v>₦4M</c:v>
                  </c:pt>
                  <c:pt idx="8">
                    <c:v>₦2M</c:v>
                  </c:pt>
                  <c:pt idx="9">
                    <c:v>₦3M</c:v>
                  </c:pt>
                  <c:pt idx="10">
                    <c:v>₦3M</c:v>
                  </c:pt>
                  <c:pt idx="11">
                    <c:v>₦3M</c:v>
                  </c:pt>
                </c15:dlblRangeCache>
              </c15:datalabelsRange>
            </c:ext>
            <c:ext xmlns:c16="http://schemas.microsoft.com/office/drawing/2014/chart" uri="{C3380CC4-5D6E-409C-BE32-E72D297353CC}">
              <c16:uniqueId val="{00000019-6A21-4A49-B9D8-5ED7E5BE7AE5}"/>
            </c:ext>
          </c:extLst>
        </c:ser>
        <c:ser>
          <c:idx val="2"/>
          <c:order val="2"/>
          <c:tx>
            <c:v>Lowest performing month</c:v>
          </c:tx>
          <c:spPr>
            <a:ln w="28575" cap="rnd">
              <a:noFill/>
              <a:round/>
            </a:ln>
            <a:effectLst/>
          </c:spPr>
          <c:marker>
            <c:symbol val="circle"/>
            <c:size val="8"/>
            <c:spPr>
              <a:solidFill>
                <a:srgbClr val="C00000"/>
              </a:solid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A-6A21-4A49-B9D8-5ED7E5BE7AE5}"/>
                </c:ext>
              </c:extLst>
            </c:dLbl>
            <c:dLbl>
              <c:idx val="11"/>
              <c:delete val="1"/>
              <c:extLst>
                <c:ext xmlns:c15="http://schemas.microsoft.com/office/drawing/2012/chart" uri="{CE6537A1-D6FC-4f65-9D91-7224C49458BB}"/>
                <c:ext xmlns:c16="http://schemas.microsoft.com/office/drawing/2014/chart" uri="{C3380CC4-5D6E-409C-BE32-E72D297353CC}">
                  <c16:uniqueId val="{0000001B-6A21-4A49-B9D8-5ED7E5BE7A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tables'!$BJ$4:$BJ$15</c:f>
              <c:numCache>
                <c:formatCode>General</c:formatCode>
                <c:ptCount val="12"/>
                <c:pt idx="0">
                  <c:v>1855882.5999999996</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1C-6A21-4A49-B9D8-5ED7E5BE7AE5}"/>
            </c:ext>
          </c:extLst>
        </c:ser>
        <c:dLbls>
          <c:dLblPos val="t"/>
          <c:showLegendKey val="0"/>
          <c:showVal val="1"/>
          <c:showCatName val="0"/>
          <c:showSerName val="0"/>
          <c:showPercent val="0"/>
          <c:showBubbleSize val="0"/>
        </c:dLbls>
        <c:smooth val="0"/>
        <c:axId val="578735112"/>
        <c:axId val="578734752"/>
      </c:lineChart>
      <c:catAx>
        <c:axId val="578735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734752"/>
        <c:crosses val="autoZero"/>
        <c:auto val="1"/>
        <c:lblAlgn val="ctr"/>
        <c:lblOffset val="100"/>
        <c:noMultiLvlLbl val="0"/>
      </c:catAx>
      <c:valAx>
        <c:axId val="578734752"/>
        <c:scaling>
          <c:orientation val="minMax"/>
        </c:scaling>
        <c:delete val="1"/>
        <c:axPos val="l"/>
        <c:numFmt formatCode="General" sourceLinked="1"/>
        <c:majorTickMark val="none"/>
        <c:minorTickMark val="none"/>
        <c:tickLblPos val="nextTo"/>
        <c:crossAx val="57873511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6666666666666666E-2"/>
          <c:y val="8.1829121540312882E-2"/>
          <c:w val="0.93888888888888888"/>
          <c:h val="0.71946483223893043"/>
        </c:manualLayout>
      </c:layout>
      <c:barChart>
        <c:barDir val="col"/>
        <c:grouping val="clustered"/>
        <c:varyColors val="0"/>
        <c:ser>
          <c:idx val="0"/>
          <c:order val="0"/>
          <c:tx>
            <c:strRef>
              <c:f>'Pivot tables'!$AN$3</c:f>
              <c:strCache>
                <c:ptCount val="1"/>
                <c:pt idx="0">
                  <c:v>Others Sales</c:v>
                </c:pt>
              </c:strCache>
            </c:strRef>
          </c:tx>
          <c:spPr>
            <a:solidFill>
              <a:schemeClr val="accent1"/>
            </a:solidFill>
            <a:ln>
              <a:noFill/>
            </a:ln>
            <a:effectLst/>
          </c:spPr>
          <c:invertIfNegative val="0"/>
          <c:dPt>
            <c:idx val="1"/>
            <c:invertIfNegative val="0"/>
            <c:bubble3D val="0"/>
            <c:spPr>
              <a:solidFill>
                <a:srgbClr val="0070C0"/>
              </a:solidFill>
              <a:ln>
                <a:noFill/>
              </a:ln>
              <a:effectLst/>
            </c:spPr>
            <c:extLst>
              <c:ext xmlns:c16="http://schemas.microsoft.com/office/drawing/2014/chart" uri="{C3380CC4-5D6E-409C-BE32-E72D297353CC}">
                <c16:uniqueId val="{00000001-32EB-4A36-B719-3A475114B09D}"/>
              </c:ext>
            </c:extLst>
          </c:dPt>
          <c:dPt>
            <c:idx val="2"/>
            <c:invertIfNegative val="0"/>
            <c:bubble3D val="0"/>
            <c:spPr>
              <a:solidFill>
                <a:srgbClr val="0070C0"/>
              </a:solidFill>
              <a:ln>
                <a:noFill/>
              </a:ln>
              <a:effectLst/>
            </c:spPr>
            <c:extLst>
              <c:ext xmlns:c16="http://schemas.microsoft.com/office/drawing/2014/chart" uri="{C3380CC4-5D6E-409C-BE32-E72D297353CC}">
                <c16:uniqueId val="{00000003-32EB-4A36-B719-3A475114B09D}"/>
              </c:ext>
            </c:extLst>
          </c:dPt>
          <c:dPt>
            <c:idx val="3"/>
            <c:invertIfNegative val="0"/>
            <c:bubble3D val="0"/>
            <c:spPr>
              <a:solidFill>
                <a:srgbClr val="0070C0"/>
              </a:solidFill>
              <a:ln>
                <a:noFill/>
              </a:ln>
              <a:effectLst/>
            </c:spPr>
            <c:extLst>
              <c:ext xmlns:c16="http://schemas.microsoft.com/office/drawing/2014/chart" uri="{C3380CC4-5D6E-409C-BE32-E72D297353CC}">
                <c16:uniqueId val="{00000005-32EB-4A36-B719-3A475114B09D}"/>
              </c:ext>
            </c:extLst>
          </c:dPt>
          <c:dPt>
            <c:idx val="4"/>
            <c:invertIfNegative val="0"/>
            <c:bubble3D val="0"/>
            <c:spPr>
              <a:solidFill>
                <a:srgbClr val="0070C0"/>
              </a:solidFill>
              <a:ln>
                <a:noFill/>
              </a:ln>
              <a:effectLst/>
            </c:spPr>
            <c:extLst>
              <c:ext xmlns:c16="http://schemas.microsoft.com/office/drawing/2014/chart" uri="{C3380CC4-5D6E-409C-BE32-E72D297353CC}">
                <c16:uniqueId val="{00000007-32EB-4A36-B719-3A475114B09D}"/>
              </c:ext>
            </c:extLst>
          </c:dPt>
          <c:dLbls>
            <c:dLbl>
              <c:idx val="0"/>
              <c:tx>
                <c:rich>
                  <a:bodyPr/>
                  <a:lstStyle/>
                  <a:p>
                    <a:fld id="{5B7EFE58-859C-4C2E-A47C-EEA03066D0E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2EB-4A36-B719-3A475114B09D}"/>
                </c:ext>
              </c:extLst>
            </c:dLbl>
            <c:dLbl>
              <c:idx val="1"/>
              <c:tx>
                <c:rich>
                  <a:bodyPr/>
                  <a:lstStyle/>
                  <a:p>
                    <a:fld id="{C6C2E270-C352-41F7-806B-02774BA692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2EB-4A36-B719-3A475114B09D}"/>
                </c:ext>
              </c:extLst>
            </c:dLbl>
            <c:dLbl>
              <c:idx val="2"/>
              <c:tx>
                <c:rich>
                  <a:bodyPr/>
                  <a:lstStyle/>
                  <a:p>
                    <a:fld id="{EB524275-4520-454C-B87C-1A64D88E9E1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2EB-4A36-B719-3A475114B09D}"/>
                </c:ext>
              </c:extLst>
            </c:dLbl>
            <c:dLbl>
              <c:idx val="3"/>
              <c:tx>
                <c:rich>
                  <a:bodyPr/>
                  <a:lstStyle/>
                  <a:p>
                    <a:fld id="{CA73CBF9-85F8-4F69-9ABB-E1B2F6D508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2EB-4A36-B719-3A475114B09D}"/>
                </c:ext>
              </c:extLst>
            </c:dLbl>
            <c:dLbl>
              <c:idx val="4"/>
              <c:tx>
                <c:rich>
                  <a:bodyPr/>
                  <a:lstStyle/>
                  <a:p>
                    <a:fld id="{E958CD67-A9BD-4F9F-B5CC-72B7EC028A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2EB-4A36-B719-3A475114B09D}"/>
                </c:ext>
              </c:extLst>
            </c:dLbl>
            <c:dLbl>
              <c:idx val="5"/>
              <c:tx>
                <c:rich>
                  <a:bodyPr/>
                  <a:lstStyle/>
                  <a:p>
                    <a:fld id="{521C7703-959D-480B-8314-3E9277619A5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2EB-4A36-B719-3A475114B09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tables'!$AM$4:$AM$9</c:f>
              <c:strCache>
                <c:ptCount val="6"/>
                <c:pt idx="0">
                  <c:v>Aishat</c:v>
                </c:pt>
                <c:pt idx="1">
                  <c:v>David</c:v>
                </c:pt>
                <c:pt idx="2">
                  <c:v>Ibrahim</c:v>
                </c:pt>
                <c:pt idx="3">
                  <c:v>Chioma</c:v>
                </c:pt>
                <c:pt idx="4">
                  <c:v>John</c:v>
                </c:pt>
                <c:pt idx="5">
                  <c:v>Grace</c:v>
                </c:pt>
              </c:strCache>
            </c:strRef>
          </c:cat>
          <c:val>
            <c:numRef>
              <c:f>'Pivot tables'!$AN$4:$AN$9</c:f>
              <c:numCache>
                <c:formatCode>General</c:formatCode>
                <c:ptCount val="6"/>
                <c:pt idx="0">
                  <c:v>7791700.0100000035</c:v>
                </c:pt>
                <c:pt idx="1">
                  <c:v>6871130.6299999962</c:v>
                </c:pt>
                <c:pt idx="2">
                  <c:v>6575293.9900000012</c:v>
                </c:pt>
                <c:pt idx="3">
                  <c:v>5448007.6700000027</c:v>
                </c:pt>
                <c:pt idx="4">
                  <c:v>4183844.3900000006</c:v>
                </c:pt>
                <c:pt idx="5">
                  <c:v>1553303.2899999998</c:v>
                </c:pt>
              </c:numCache>
            </c:numRef>
          </c:val>
          <c:extLst>
            <c:ext xmlns:c15="http://schemas.microsoft.com/office/drawing/2012/chart" uri="{02D57815-91ED-43cb-92C2-25804820EDAC}">
              <c15:datalabelsRange>
                <c15:f>'Pivot tables'!$AK$4:$AK$9</c15:f>
                <c15:dlblRangeCache>
                  <c:ptCount val="6"/>
                  <c:pt idx="0">
                    <c:v>₦8M</c:v>
                  </c:pt>
                  <c:pt idx="1">
                    <c:v>₦7M</c:v>
                  </c:pt>
                  <c:pt idx="2">
                    <c:v>₦7M</c:v>
                  </c:pt>
                  <c:pt idx="3">
                    <c:v>₦5M</c:v>
                  </c:pt>
                  <c:pt idx="4">
                    <c:v>₦4M</c:v>
                  </c:pt>
                  <c:pt idx="5">
                    <c:v>₦2M</c:v>
                  </c:pt>
                </c15:dlblRangeCache>
              </c15:datalabelsRange>
            </c:ext>
            <c:ext xmlns:c16="http://schemas.microsoft.com/office/drawing/2014/chart" uri="{C3380CC4-5D6E-409C-BE32-E72D297353CC}">
              <c16:uniqueId val="{0000000A-32EB-4A36-B719-3A475114B09D}"/>
            </c:ext>
          </c:extLst>
        </c:ser>
        <c:ser>
          <c:idx val="1"/>
          <c:order val="1"/>
          <c:tx>
            <c:strRef>
              <c:f>'Pivot tables'!$AO$3</c:f>
              <c:strCache>
                <c:ptCount val="1"/>
                <c:pt idx="0">
                  <c:v>Top performer</c:v>
                </c:pt>
              </c:strCache>
            </c:strRef>
          </c:tx>
          <c:spPr>
            <a:solidFill>
              <a:srgbClr val="00112E"/>
            </a:solidFill>
            <a:ln>
              <a:noFill/>
            </a:ln>
            <a:effectLst/>
          </c:spPr>
          <c:invertIfNegative val="0"/>
          <c:cat>
            <c:strRef>
              <c:f>'Pivot tables'!$AM$4:$AM$9</c:f>
              <c:strCache>
                <c:ptCount val="6"/>
                <c:pt idx="0">
                  <c:v>Aishat</c:v>
                </c:pt>
                <c:pt idx="1">
                  <c:v>David</c:v>
                </c:pt>
                <c:pt idx="2">
                  <c:v>Ibrahim</c:v>
                </c:pt>
                <c:pt idx="3">
                  <c:v>Chioma</c:v>
                </c:pt>
                <c:pt idx="4">
                  <c:v>John</c:v>
                </c:pt>
                <c:pt idx="5">
                  <c:v>Grace</c:v>
                </c:pt>
              </c:strCache>
            </c:strRef>
          </c:cat>
          <c:val>
            <c:numRef>
              <c:f>'Pivot tables'!$AO$4:$AO$9</c:f>
              <c:numCache>
                <c:formatCode>General</c:formatCode>
                <c:ptCount val="6"/>
                <c:pt idx="0">
                  <c:v>7791700.0100000035</c:v>
                </c:pt>
                <c:pt idx="1">
                  <c:v>0</c:v>
                </c:pt>
                <c:pt idx="2">
                  <c:v>0</c:v>
                </c:pt>
                <c:pt idx="3">
                  <c:v>0</c:v>
                </c:pt>
                <c:pt idx="4">
                  <c:v>0</c:v>
                </c:pt>
                <c:pt idx="5">
                  <c:v>0</c:v>
                </c:pt>
              </c:numCache>
            </c:numRef>
          </c:val>
          <c:extLst>
            <c:ext xmlns:c16="http://schemas.microsoft.com/office/drawing/2014/chart" uri="{C3380CC4-5D6E-409C-BE32-E72D297353CC}">
              <c16:uniqueId val="{0000000B-32EB-4A36-B719-3A475114B09D}"/>
            </c:ext>
          </c:extLst>
        </c:ser>
        <c:ser>
          <c:idx val="2"/>
          <c:order val="2"/>
          <c:tx>
            <c:strRef>
              <c:f>'Pivot tables'!$AP$3</c:f>
              <c:strCache>
                <c:ptCount val="1"/>
                <c:pt idx="0">
                  <c:v>Low performer</c:v>
                </c:pt>
              </c:strCache>
            </c:strRef>
          </c:tx>
          <c:spPr>
            <a:solidFill>
              <a:srgbClr val="C00000"/>
            </a:solidFill>
            <a:ln>
              <a:noFill/>
            </a:ln>
            <a:effectLst/>
          </c:spPr>
          <c:invertIfNegative val="0"/>
          <c:cat>
            <c:strRef>
              <c:f>'Pivot tables'!$AM$4:$AM$9</c:f>
              <c:strCache>
                <c:ptCount val="6"/>
                <c:pt idx="0">
                  <c:v>Aishat</c:v>
                </c:pt>
                <c:pt idx="1">
                  <c:v>David</c:v>
                </c:pt>
                <c:pt idx="2">
                  <c:v>Ibrahim</c:v>
                </c:pt>
                <c:pt idx="3">
                  <c:v>Chioma</c:v>
                </c:pt>
                <c:pt idx="4">
                  <c:v>John</c:v>
                </c:pt>
                <c:pt idx="5">
                  <c:v>Grace</c:v>
                </c:pt>
              </c:strCache>
            </c:strRef>
          </c:cat>
          <c:val>
            <c:numRef>
              <c:f>'Pivot tables'!$AP$4:$AP$9</c:f>
              <c:numCache>
                <c:formatCode>General</c:formatCode>
                <c:ptCount val="6"/>
                <c:pt idx="0">
                  <c:v>0</c:v>
                </c:pt>
                <c:pt idx="1">
                  <c:v>0</c:v>
                </c:pt>
                <c:pt idx="2">
                  <c:v>0</c:v>
                </c:pt>
                <c:pt idx="3">
                  <c:v>0</c:v>
                </c:pt>
                <c:pt idx="4">
                  <c:v>0</c:v>
                </c:pt>
                <c:pt idx="5">
                  <c:v>1553303.2899999998</c:v>
                </c:pt>
              </c:numCache>
            </c:numRef>
          </c:val>
          <c:extLst>
            <c:ext xmlns:c16="http://schemas.microsoft.com/office/drawing/2014/chart" uri="{C3380CC4-5D6E-409C-BE32-E72D297353CC}">
              <c16:uniqueId val="{0000000C-32EB-4A36-B719-3A475114B09D}"/>
            </c:ext>
          </c:extLst>
        </c:ser>
        <c:dLbls>
          <c:showLegendKey val="0"/>
          <c:showVal val="0"/>
          <c:showCatName val="0"/>
          <c:showSerName val="0"/>
          <c:showPercent val="0"/>
          <c:showBubbleSize val="0"/>
        </c:dLbls>
        <c:gapWidth val="90"/>
        <c:overlap val="100"/>
        <c:axId val="537072744"/>
        <c:axId val="537066984"/>
      </c:barChart>
      <c:catAx>
        <c:axId val="53707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066984"/>
        <c:crosses val="autoZero"/>
        <c:auto val="1"/>
        <c:lblAlgn val="ctr"/>
        <c:lblOffset val="100"/>
        <c:noMultiLvlLbl val="0"/>
      </c:catAx>
      <c:valAx>
        <c:axId val="537066984"/>
        <c:scaling>
          <c:orientation val="minMax"/>
        </c:scaling>
        <c:delete val="1"/>
        <c:axPos val="l"/>
        <c:numFmt formatCode="General" sourceLinked="1"/>
        <c:majorTickMark val="none"/>
        <c:minorTickMark val="none"/>
        <c:tickLblPos val="nextTo"/>
        <c:crossAx val="537072744"/>
        <c:crosses val="autoZero"/>
        <c:crossBetween val="between"/>
      </c:valAx>
      <c:spPr>
        <a:noFill/>
        <a:ln>
          <a:noFill/>
        </a:ln>
        <a:effectLst/>
      </c:spPr>
    </c:plotArea>
    <c:legend>
      <c:legendPos val="b"/>
      <c:legendEntry>
        <c:idx val="0"/>
        <c:delete val="1"/>
      </c:legendEntry>
      <c:layout>
        <c:manualLayout>
          <c:xMode val="edge"/>
          <c:yMode val="edge"/>
          <c:x val="0.27871300730681614"/>
          <c:y val="0.90527232247920675"/>
          <c:w val="0.44257398538636766"/>
          <c:h val="8.363733533134143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3" Type="http://schemas.microsoft.com/office/2007/relationships/hdphoto" Target="../media/hdphoto1.wdp"/><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11" Type="http://schemas.microsoft.com/office/2007/relationships/hdphoto" Target="../media/hdphoto2.wdp"/><Relationship Id="rId5" Type="http://schemas.openxmlformats.org/officeDocument/2006/relationships/image" Target="../media/image4.png"/><Relationship Id="rId15" Type="http://schemas.openxmlformats.org/officeDocument/2006/relationships/image" Target="../media/image8.png"/><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12</xdr:col>
      <xdr:colOff>0</xdr:colOff>
      <xdr:row>18</xdr:row>
      <xdr:rowOff>0</xdr:rowOff>
    </xdr:from>
    <xdr:to>
      <xdr:col>16</xdr:col>
      <xdr:colOff>371475</xdr:colOff>
      <xdr:row>26</xdr:row>
      <xdr:rowOff>47625</xdr:rowOff>
    </xdr:to>
    <xdr:sp macro="" textlink="$T$15">
      <xdr:nvSpPr>
        <xdr:cNvPr id="3" name="Rectangle 2">
          <a:extLst>
            <a:ext uri="{FF2B5EF4-FFF2-40B4-BE49-F238E27FC236}">
              <a16:creationId xmlns:a16="http://schemas.microsoft.com/office/drawing/2014/main" id="{8F0C520F-A854-4C69-ACA7-6CC8B6A7E6FA}"/>
            </a:ext>
          </a:extLst>
        </xdr:cNvPr>
        <xdr:cNvSpPr/>
      </xdr:nvSpPr>
      <xdr:spPr>
        <a:xfrm>
          <a:off x="10467975" y="3429000"/>
          <a:ext cx="2524125" cy="1571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FA423AF-518E-4382-80FF-EDA5DA61B715}" type="TxLink">
            <a:rPr lang="en-US" sz="1100" b="0" i="0" u="none" strike="noStrike">
              <a:solidFill>
                <a:srgbClr val="000000"/>
              </a:solidFill>
              <a:latin typeface="Calibri"/>
              <a:ea typeface="Calibri"/>
              <a:cs typeface="Calibri"/>
            </a:rPr>
            <a:pPr algn="l"/>
            <a:t>Sales are highly dominant in Rice (10kg) and Turkey , which together account for 63% of total sales across 10 products.</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190499</xdr:colOff>
      <xdr:row>5</xdr:row>
      <xdr:rowOff>152400</xdr:rowOff>
    </xdr:to>
    <xdr:sp macro="" textlink="">
      <xdr:nvSpPr>
        <xdr:cNvPr id="2" name="Rectangle: Rounded Corners 1">
          <a:extLst>
            <a:ext uri="{FF2B5EF4-FFF2-40B4-BE49-F238E27FC236}">
              <a16:creationId xmlns:a16="http://schemas.microsoft.com/office/drawing/2014/main" id="{D0257AEA-2196-499B-990B-161EBD6B5F20}"/>
            </a:ext>
          </a:extLst>
        </xdr:cNvPr>
        <xdr:cNvSpPr/>
      </xdr:nvSpPr>
      <xdr:spPr>
        <a:xfrm>
          <a:off x="0" y="0"/>
          <a:ext cx="13549312" cy="1104900"/>
        </a:xfrm>
        <a:prstGeom prst="roundRect">
          <a:avLst>
            <a:gd name="adj" fmla="val 9992"/>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0</xdr:col>
      <xdr:colOff>1</xdr:colOff>
      <xdr:row>0</xdr:row>
      <xdr:rowOff>0</xdr:rowOff>
    </xdr:from>
    <xdr:to>
      <xdr:col>1</xdr:col>
      <xdr:colOff>123825</xdr:colOff>
      <xdr:row>44</xdr:row>
      <xdr:rowOff>66453</xdr:rowOff>
    </xdr:to>
    <xdr:sp macro="" textlink="">
      <xdr:nvSpPr>
        <xdr:cNvPr id="8" name="Rectangle: Rounded Corners 7">
          <a:extLst>
            <a:ext uri="{FF2B5EF4-FFF2-40B4-BE49-F238E27FC236}">
              <a16:creationId xmlns:a16="http://schemas.microsoft.com/office/drawing/2014/main" id="{BE16C8B0-7B96-4291-B2C0-A9BB5560FC09}"/>
            </a:ext>
          </a:extLst>
        </xdr:cNvPr>
        <xdr:cNvSpPr/>
      </xdr:nvSpPr>
      <xdr:spPr>
        <a:xfrm>
          <a:off x="1" y="0"/>
          <a:ext cx="732981" cy="8350988"/>
        </a:xfrm>
        <a:prstGeom prst="roundRect">
          <a:avLst>
            <a:gd name="adj" fmla="val 12667"/>
          </a:avLst>
        </a:prstGeom>
        <a:solidFill>
          <a:srgbClr val="0011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4</xdr:row>
      <xdr:rowOff>19049</xdr:rowOff>
    </xdr:from>
    <xdr:to>
      <xdr:col>0</xdr:col>
      <xdr:colOff>561975</xdr:colOff>
      <xdr:row>6</xdr:row>
      <xdr:rowOff>66674</xdr:rowOff>
    </xdr:to>
    <xdr:sp macro="" textlink="">
      <xdr:nvSpPr>
        <xdr:cNvPr id="18" name="Oval 17">
          <a:extLst>
            <a:ext uri="{FF2B5EF4-FFF2-40B4-BE49-F238E27FC236}">
              <a16:creationId xmlns:a16="http://schemas.microsoft.com/office/drawing/2014/main" id="{8271F7BD-F66D-4AAC-9CD5-7DA471AF1FEB}"/>
            </a:ext>
          </a:extLst>
        </xdr:cNvPr>
        <xdr:cNvSpPr/>
      </xdr:nvSpPr>
      <xdr:spPr>
        <a:xfrm>
          <a:off x="114300" y="781049"/>
          <a:ext cx="447675" cy="428625"/>
        </a:xfrm>
        <a:prstGeom prst="ellipse">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180977</xdr:colOff>
      <xdr:row>4</xdr:row>
      <xdr:rowOff>85725</xdr:rowOff>
    </xdr:from>
    <xdr:to>
      <xdr:col>0</xdr:col>
      <xdr:colOff>457411</xdr:colOff>
      <xdr:row>5</xdr:row>
      <xdr:rowOff>171659</xdr:rowOff>
    </xdr:to>
    <xdr:pic>
      <xdr:nvPicPr>
        <xdr:cNvPr id="20" name="Picture 19">
          <a:extLst>
            <a:ext uri="{FF2B5EF4-FFF2-40B4-BE49-F238E27FC236}">
              <a16:creationId xmlns:a16="http://schemas.microsoft.com/office/drawing/2014/main" id="{95190D86-527D-E743-A194-BBF887B42CBC}"/>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180977" y="847725"/>
          <a:ext cx="276434" cy="276434"/>
        </a:xfrm>
        <a:prstGeom prst="rect">
          <a:avLst/>
        </a:prstGeom>
      </xdr:spPr>
    </xdr:pic>
    <xdr:clientData/>
  </xdr:twoCellAnchor>
  <xdr:twoCellAnchor editAs="oneCell">
    <xdr:from>
      <xdr:col>0</xdr:col>
      <xdr:colOff>152400</xdr:colOff>
      <xdr:row>10</xdr:row>
      <xdr:rowOff>47624</xdr:rowOff>
    </xdr:from>
    <xdr:to>
      <xdr:col>0</xdr:col>
      <xdr:colOff>534081</xdr:colOff>
      <xdr:row>12</xdr:row>
      <xdr:rowOff>48305</xdr:rowOff>
    </xdr:to>
    <xdr:pic>
      <xdr:nvPicPr>
        <xdr:cNvPr id="49" name="Picture 48">
          <a:extLst>
            <a:ext uri="{FF2B5EF4-FFF2-40B4-BE49-F238E27FC236}">
              <a16:creationId xmlns:a16="http://schemas.microsoft.com/office/drawing/2014/main" id="{744008F3-1F7F-EEF7-AC00-F778CFFDCCCE}"/>
            </a:ext>
          </a:extLst>
        </xdr:cNvPr>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BEBA8EAE-BF5A-486C-A8C5-ECC9F3942E4B}">
              <a14:imgProps xmlns:a14="http://schemas.microsoft.com/office/drawing/2010/main">
                <a14:imgLayer r:embed="rId3">
                  <a14:imgEffect>
                    <a14:saturation sat="0"/>
                  </a14:imgEffect>
                </a14:imgLayer>
              </a14:imgProps>
            </a:ext>
            <a:ext uri="{28A0092B-C50C-407E-A947-70E740481C1C}">
              <a14:useLocalDpi xmlns:a14="http://schemas.microsoft.com/office/drawing/2010/main" val="0"/>
            </a:ext>
          </a:extLst>
        </a:blip>
        <a:stretch>
          <a:fillRect/>
        </a:stretch>
      </xdr:blipFill>
      <xdr:spPr>
        <a:xfrm>
          <a:off x="152400" y="1952624"/>
          <a:ext cx="381681" cy="381681"/>
        </a:xfrm>
        <a:prstGeom prst="rect">
          <a:avLst/>
        </a:prstGeom>
      </xdr:spPr>
    </xdr:pic>
    <xdr:clientData/>
  </xdr:twoCellAnchor>
  <xdr:twoCellAnchor>
    <xdr:from>
      <xdr:col>0</xdr:col>
      <xdr:colOff>114300</xdr:colOff>
      <xdr:row>10</xdr:row>
      <xdr:rowOff>19049</xdr:rowOff>
    </xdr:from>
    <xdr:to>
      <xdr:col>0</xdr:col>
      <xdr:colOff>561975</xdr:colOff>
      <xdr:row>12</xdr:row>
      <xdr:rowOff>66674</xdr:rowOff>
    </xdr:to>
    <xdr:sp macro="" textlink="">
      <xdr:nvSpPr>
        <xdr:cNvPr id="50" name="Oval 49">
          <a:extLst>
            <a:ext uri="{FF2B5EF4-FFF2-40B4-BE49-F238E27FC236}">
              <a16:creationId xmlns:a16="http://schemas.microsoft.com/office/drawing/2014/main" id="{002B049C-3941-4E17-9356-D398E2142BD5}"/>
            </a:ext>
          </a:extLst>
        </xdr:cNvPr>
        <xdr:cNvSpPr/>
      </xdr:nvSpPr>
      <xdr:spPr>
        <a:xfrm>
          <a:off x="114300" y="1924049"/>
          <a:ext cx="447675" cy="428625"/>
        </a:xfrm>
        <a:prstGeom prst="ellipse">
          <a:avLst/>
        </a:prstGeom>
        <a:solidFill>
          <a:schemeClr val="accent1">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419099</xdr:colOff>
      <xdr:row>3</xdr:row>
      <xdr:rowOff>11986</xdr:rowOff>
    </xdr:from>
    <xdr:to>
      <xdr:col>5</xdr:col>
      <xdr:colOff>92963</xdr:colOff>
      <xdr:row>8</xdr:row>
      <xdr:rowOff>168050</xdr:rowOff>
    </xdr:to>
    <xdr:sp macro="" textlink="">
      <xdr:nvSpPr>
        <xdr:cNvPr id="3" name="Rectangle: Rounded Corners 2">
          <a:extLst>
            <a:ext uri="{FF2B5EF4-FFF2-40B4-BE49-F238E27FC236}">
              <a16:creationId xmlns:a16="http://schemas.microsoft.com/office/drawing/2014/main" id="{97B0A0EF-5ACC-8D68-3951-B8A2F0AADADB}"/>
            </a:ext>
          </a:extLst>
        </xdr:cNvPr>
        <xdr:cNvSpPr/>
      </xdr:nvSpPr>
      <xdr:spPr>
        <a:xfrm>
          <a:off x="1029127" y="589907"/>
          <a:ext cx="2113976" cy="1119267"/>
        </a:xfrm>
        <a:prstGeom prst="roundRect">
          <a:avLst>
            <a:gd name="adj" fmla="val 8975"/>
          </a:avLst>
        </a:prstGeom>
        <a:gradFill flip="none" rotWithShape="1">
          <a:gsLst>
            <a:gs pos="66000">
              <a:srgbClr val="00112E"/>
            </a:gs>
            <a:gs pos="98000">
              <a:srgbClr val="007F63"/>
            </a:gs>
            <a:gs pos="98000">
              <a:schemeClr val="accent1"/>
            </a:gs>
            <a:gs pos="100000">
              <a:schemeClr val="accent1"/>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28574</xdr:colOff>
      <xdr:row>4</xdr:row>
      <xdr:rowOff>57257</xdr:rowOff>
    </xdr:from>
    <xdr:to>
      <xdr:col>2</xdr:col>
      <xdr:colOff>476249</xdr:colOff>
      <xdr:row>6</xdr:row>
      <xdr:rowOff>123932</xdr:rowOff>
    </xdr:to>
    <xdr:grpSp>
      <xdr:nvGrpSpPr>
        <xdr:cNvPr id="73" name="Group 72">
          <a:extLst>
            <a:ext uri="{FF2B5EF4-FFF2-40B4-BE49-F238E27FC236}">
              <a16:creationId xmlns:a16="http://schemas.microsoft.com/office/drawing/2014/main" id="{D4F1E000-5AC5-5AB6-9206-F787D63FC1EC}"/>
            </a:ext>
          </a:extLst>
        </xdr:cNvPr>
        <xdr:cNvGrpSpPr/>
      </xdr:nvGrpSpPr>
      <xdr:grpSpPr>
        <a:xfrm>
          <a:off x="1242750" y="810883"/>
          <a:ext cx="447675" cy="443489"/>
          <a:chOff x="1248630" y="927563"/>
          <a:chExt cx="447675" cy="451956"/>
        </a:xfrm>
      </xdr:grpSpPr>
      <xdr:sp macro="" textlink="">
        <xdr:nvSpPr>
          <xdr:cNvPr id="13" name="Oval 12">
            <a:extLst>
              <a:ext uri="{FF2B5EF4-FFF2-40B4-BE49-F238E27FC236}">
                <a16:creationId xmlns:a16="http://schemas.microsoft.com/office/drawing/2014/main" id="{66E7A38E-786D-7D1F-754A-7B89BB261A75}"/>
              </a:ext>
            </a:extLst>
          </xdr:cNvPr>
          <xdr:cNvSpPr/>
        </xdr:nvSpPr>
        <xdr:spPr>
          <a:xfrm>
            <a:off x="1248630" y="927563"/>
            <a:ext cx="447675" cy="451956"/>
          </a:xfrm>
          <a:prstGeom prst="ellipse">
            <a:avLst/>
          </a:prstGeom>
          <a:solidFill>
            <a:srgbClr val="007F63">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5" name="Picture 34">
            <a:extLst>
              <a:ext uri="{FF2B5EF4-FFF2-40B4-BE49-F238E27FC236}">
                <a16:creationId xmlns:a16="http://schemas.microsoft.com/office/drawing/2014/main" id="{0C269CC0-1914-1A7B-DE45-B532F048126A}"/>
              </a:ext>
            </a:extLst>
          </xdr:cNvPr>
          <xdr:cNvPicPr>
            <a:picLocks noChangeAspect="1"/>
          </xdr:cNvPicPr>
        </xdr:nvPicPr>
        <xdr:blipFill>
          <a:blip xmlns:r="http://schemas.openxmlformats.org/officeDocument/2006/relationships" r:embed="rId4"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305781" y="975196"/>
            <a:ext cx="295275" cy="297416"/>
          </a:xfrm>
          <a:prstGeom prst="rect">
            <a:avLst/>
          </a:prstGeom>
        </xdr:spPr>
      </xdr:pic>
    </xdr:grpSp>
    <xdr:clientData/>
  </xdr:twoCellAnchor>
  <xdr:twoCellAnchor>
    <xdr:from>
      <xdr:col>2</xdr:col>
      <xdr:colOff>466725</xdr:colOff>
      <xdr:row>3</xdr:row>
      <xdr:rowOff>137953</xdr:rowOff>
    </xdr:from>
    <xdr:to>
      <xdr:col>5</xdr:col>
      <xdr:colOff>142875</xdr:colOff>
      <xdr:row>5</xdr:row>
      <xdr:rowOff>99853</xdr:rowOff>
    </xdr:to>
    <xdr:sp macro="" textlink="">
      <xdr:nvSpPr>
        <xdr:cNvPr id="52" name="TextBox 51">
          <a:extLst>
            <a:ext uri="{FF2B5EF4-FFF2-40B4-BE49-F238E27FC236}">
              <a16:creationId xmlns:a16="http://schemas.microsoft.com/office/drawing/2014/main" id="{62135931-EDF1-3BD5-4D2A-3AAB5CE9F3F2}"/>
            </a:ext>
          </a:extLst>
        </xdr:cNvPr>
        <xdr:cNvSpPr txBox="1"/>
      </xdr:nvSpPr>
      <xdr:spPr>
        <a:xfrm>
          <a:off x="1686781" y="715874"/>
          <a:ext cx="1506234" cy="347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n>
                <a:noFill/>
              </a:ln>
              <a:solidFill>
                <a:schemeClr val="bg1">
                  <a:lumMod val="75000"/>
                </a:schemeClr>
              </a:solidFill>
              <a:latin typeface="+mn-lt"/>
              <a:cs typeface="Arial" panose="020B0604020202020204" pitchFamily="34" charset="0"/>
            </a:rPr>
            <a:t>Total Sales</a:t>
          </a:r>
        </a:p>
      </xdr:txBody>
    </xdr:sp>
    <xdr:clientData/>
  </xdr:twoCellAnchor>
  <xdr:twoCellAnchor>
    <xdr:from>
      <xdr:col>2</xdr:col>
      <xdr:colOff>485775</xdr:colOff>
      <xdr:row>5</xdr:row>
      <xdr:rowOff>79785</xdr:rowOff>
    </xdr:from>
    <xdr:to>
      <xdr:col>5</xdr:col>
      <xdr:colOff>38100</xdr:colOff>
      <xdr:row>7</xdr:row>
      <xdr:rowOff>108360</xdr:rowOff>
    </xdr:to>
    <xdr:sp macro="" textlink="'Pivot tables'!C5">
      <xdr:nvSpPr>
        <xdr:cNvPr id="58" name="TextBox 57">
          <a:extLst>
            <a:ext uri="{FF2B5EF4-FFF2-40B4-BE49-F238E27FC236}">
              <a16:creationId xmlns:a16="http://schemas.microsoft.com/office/drawing/2014/main" id="{C65AB450-C6A2-49DA-0913-3CDA9C2D6D6E}"/>
            </a:ext>
          </a:extLst>
        </xdr:cNvPr>
        <xdr:cNvSpPr txBox="1"/>
      </xdr:nvSpPr>
      <xdr:spPr>
        <a:xfrm>
          <a:off x="1705831" y="1042987"/>
          <a:ext cx="1382409" cy="413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C7F1D0-7389-4C2C-B29E-262C79EAB8D1}" type="TxLink">
            <a:rPr lang="en-US" sz="2000" b="0" i="0" u="none" strike="noStrike">
              <a:ln>
                <a:noFill/>
              </a:ln>
              <a:solidFill>
                <a:schemeClr val="bg1"/>
              </a:solidFill>
              <a:latin typeface="Calibri"/>
              <a:ea typeface="Calibri"/>
              <a:cs typeface="Calibri"/>
            </a:rPr>
            <a:pPr/>
            <a:t>₦32M</a:t>
          </a:fld>
          <a:endParaRPr lang="en-US" sz="2000">
            <a:ln>
              <a:noFill/>
            </a:ln>
            <a:solidFill>
              <a:schemeClr val="bg1"/>
            </a:solidFill>
            <a:latin typeface="+mn-lt"/>
            <a:cs typeface="Arial" panose="020B0604020202020204" pitchFamily="34" charset="0"/>
          </a:endParaRPr>
        </a:p>
      </xdr:txBody>
    </xdr:sp>
    <xdr:clientData/>
  </xdr:twoCellAnchor>
  <xdr:twoCellAnchor>
    <xdr:from>
      <xdr:col>5</xdr:col>
      <xdr:colOff>564945</xdr:colOff>
      <xdr:row>3</xdr:row>
      <xdr:rowOff>11986</xdr:rowOff>
    </xdr:from>
    <xdr:to>
      <xdr:col>9</xdr:col>
      <xdr:colOff>238381</xdr:colOff>
      <xdr:row>8</xdr:row>
      <xdr:rowOff>168050</xdr:rowOff>
    </xdr:to>
    <xdr:sp macro="" textlink="">
      <xdr:nvSpPr>
        <xdr:cNvPr id="9" name="Rectangle: Rounded Corners 8">
          <a:extLst>
            <a:ext uri="{FF2B5EF4-FFF2-40B4-BE49-F238E27FC236}">
              <a16:creationId xmlns:a16="http://schemas.microsoft.com/office/drawing/2014/main" id="{D073CCDF-CD3E-44CF-864E-A45E0FBC1090}"/>
            </a:ext>
          </a:extLst>
        </xdr:cNvPr>
        <xdr:cNvSpPr/>
      </xdr:nvSpPr>
      <xdr:spPr>
        <a:xfrm>
          <a:off x="3615085" y="589907"/>
          <a:ext cx="2113549" cy="1119267"/>
        </a:xfrm>
        <a:prstGeom prst="roundRect">
          <a:avLst>
            <a:gd name="adj" fmla="val 8975"/>
          </a:avLst>
        </a:prstGeom>
        <a:gradFill flip="none" rotWithShape="1">
          <a:gsLst>
            <a:gs pos="66000">
              <a:srgbClr val="00112E"/>
            </a:gs>
            <a:gs pos="66000">
              <a:srgbClr val="00112E"/>
            </a:gs>
            <a:gs pos="98000">
              <a:schemeClr val="accent1"/>
            </a:gs>
            <a:gs pos="98000">
              <a:srgbClr val="007F63"/>
            </a:gs>
            <a:gs pos="100000">
              <a:srgbClr val="800043"/>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50423</xdr:colOff>
      <xdr:row>3</xdr:row>
      <xdr:rowOff>11986</xdr:rowOff>
    </xdr:from>
    <xdr:to>
      <xdr:col>13</xdr:col>
      <xdr:colOff>333887</xdr:colOff>
      <xdr:row>8</xdr:row>
      <xdr:rowOff>168050</xdr:rowOff>
    </xdr:to>
    <xdr:sp macro="" textlink="">
      <xdr:nvSpPr>
        <xdr:cNvPr id="10" name="Rectangle: Rounded Corners 9">
          <a:extLst>
            <a:ext uri="{FF2B5EF4-FFF2-40B4-BE49-F238E27FC236}">
              <a16:creationId xmlns:a16="http://schemas.microsoft.com/office/drawing/2014/main" id="{0993ECCE-CA56-42A3-9C1C-077F75F5C029}"/>
            </a:ext>
          </a:extLst>
        </xdr:cNvPr>
        <xdr:cNvSpPr/>
      </xdr:nvSpPr>
      <xdr:spPr>
        <a:xfrm>
          <a:off x="6150704" y="589907"/>
          <a:ext cx="2113548" cy="1119267"/>
        </a:xfrm>
        <a:prstGeom prst="roundRect">
          <a:avLst>
            <a:gd name="adj" fmla="val 8975"/>
          </a:avLst>
        </a:prstGeom>
        <a:gradFill flip="none" rotWithShape="1">
          <a:gsLst>
            <a:gs pos="66000">
              <a:srgbClr val="00112E"/>
            </a:gs>
            <a:gs pos="100000">
              <a:srgbClr val="00112E"/>
            </a:gs>
            <a:gs pos="98000">
              <a:srgbClr val="800043"/>
            </a:gs>
            <a:gs pos="100000">
              <a:srgbClr val="800043"/>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284084</xdr:colOff>
      <xdr:row>4</xdr:row>
      <xdr:rowOff>57257</xdr:rowOff>
    </xdr:from>
    <xdr:to>
      <xdr:col>11</xdr:col>
      <xdr:colOff>89313</xdr:colOff>
      <xdr:row>6</xdr:row>
      <xdr:rowOff>85832</xdr:rowOff>
    </xdr:to>
    <xdr:grpSp>
      <xdr:nvGrpSpPr>
        <xdr:cNvPr id="74" name="Group 73">
          <a:extLst>
            <a:ext uri="{FF2B5EF4-FFF2-40B4-BE49-F238E27FC236}">
              <a16:creationId xmlns:a16="http://schemas.microsoft.com/office/drawing/2014/main" id="{6B68BBF7-A571-632A-C0BF-0E5007C94666}"/>
            </a:ext>
          </a:extLst>
        </xdr:cNvPr>
        <xdr:cNvGrpSpPr/>
      </xdr:nvGrpSpPr>
      <xdr:grpSpPr>
        <a:xfrm>
          <a:off x="6354963" y="810883"/>
          <a:ext cx="412317" cy="405389"/>
          <a:chOff x="6343564" y="937088"/>
          <a:chExt cx="415257" cy="413856"/>
        </a:xfrm>
      </xdr:grpSpPr>
      <xdr:sp macro="" textlink="">
        <xdr:nvSpPr>
          <xdr:cNvPr id="16" name="Oval 15">
            <a:extLst>
              <a:ext uri="{FF2B5EF4-FFF2-40B4-BE49-F238E27FC236}">
                <a16:creationId xmlns:a16="http://schemas.microsoft.com/office/drawing/2014/main" id="{04414A71-58AF-43D8-9D6C-41B93CE3C819}"/>
              </a:ext>
            </a:extLst>
          </xdr:cNvPr>
          <xdr:cNvSpPr/>
        </xdr:nvSpPr>
        <xdr:spPr>
          <a:xfrm>
            <a:off x="6343564" y="937088"/>
            <a:ext cx="415257" cy="413856"/>
          </a:xfrm>
          <a:prstGeom prst="ellipse">
            <a:avLst/>
          </a:prstGeom>
          <a:solidFill>
            <a:srgbClr val="800043">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2" name="Picture 41">
            <a:extLst>
              <a:ext uri="{FF2B5EF4-FFF2-40B4-BE49-F238E27FC236}">
                <a16:creationId xmlns:a16="http://schemas.microsoft.com/office/drawing/2014/main" id="{8725A281-0FFB-948D-5F2B-85D5EB4144A0}"/>
              </a:ext>
            </a:extLst>
          </xdr:cNvPr>
          <xdr:cNvPicPr>
            <a:picLocks noChangeAspect="1"/>
          </xdr:cNvPicPr>
        </xdr:nvPicPr>
        <xdr:blipFill>
          <a:blip xmlns:r="http://schemas.openxmlformats.org/officeDocument/2006/relationships" r:embed="rId5"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6418174" y="994238"/>
            <a:ext cx="264248" cy="268230"/>
          </a:xfrm>
          <a:prstGeom prst="rect">
            <a:avLst/>
          </a:prstGeom>
        </xdr:spPr>
      </xdr:pic>
    </xdr:grpSp>
    <xdr:clientData/>
  </xdr:twoCellAnchor>
  <xdr:twoCellAnchor>
    <xdr:from>
      <xdr:col>11</xdr:col>
      <xdr:colOff>45446</xdr:colOff>
      <xdr:row>3</xdr:row>
      <xdr:rowOff>137953</xdr:rowOff>
    </xdr:from>
    <xdr:to>
      <xdr:col>13</xdr:col>
      <xdr:colOff>318362</xdr:colOff>
      <xdr:row>5</xdr:row>
      <xdr:rowOff>97712</xdr:rowOff>
    </xdr:to>
    <xdr:sp macro="" textlink="">
      <xdr:nvSpPr>
        <xdr:cNvPr id="55" name="TextBox 54">
          <a:extLst>
            <a:ext uri="{FF2B5EF4-FFF2-40B4-BE49-F238E27FC236}">
              <a16:creationId xmlns:a16="http://schemas.microsoft.com/office/drawing/2014/main" id="{3B5ECDD2-D3BF-4AD3-A86D-E1FB70FFE5A7}"/>
            </a:ext>
          </a:extLst>
        </xdr:cNvPr>
        <xdr:cNvSpPr txBox="1"/>
      </xdr:nvSpPr>
      <xdr:spPr>
        <a:xfrm>
          <a:off x="6755755" y="715874"/>
          <a:ext cx="1492972" cy="3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ln>
                <a:noFill/>
              </a:ln>
              <a:solidFill>
                <a:schemeClr val="bg1">
                  <a:lumMod val="75000"/>
                </a:schemeClr>
              </a:solidFill>
              <a:latin typeface="+mn-lt"/>
              <a:ea typeface="+mn-ea"/>
              <a:cs typeface="Arial" panose="020B0604020202020204" pitchFamily="34" charset="0"/>
            </a:rPr>
            <a:t>#</a:t>
          </a:r>
          <a:r>
            <a:rPr lang="en-US" sz="1600" baseline="0">
              <a:ln>
                <a:noFill/>
              </a:ln>
              <a:solidFill>
                <a:schemeClr val="bg1">
                  <a:lumMod val="75000"/>
                </a:schemeClr>
              </a:solidFill>
              <a:latin typeface="+mn-lt"/>
              <a:ea typeface="+mn-ea"/>
              <a:cs typeface="Arial" panose="020B0604020202020204" pitchFamily="34" charset="0"/>
            </a:rPr>
            <a:t> Transaction</a:t>
          </a:r>
          <a:endParaRPr lang="en-US" sz="1600">
            <a:ln>
              <a:noFill/>
            </a:ln>
            <a:solidFill>
              <a:schemeClr val="bg1">
                <a:lumMod val="75000"/>
              </a:schemeClr>
            </a:solidFill>
            <a:latin typeface="+mn-lt"/>
            <a:ea typeface="+mn-ea"/>
            <a:cs typeface="Arial" panose="020B0604020202020204" pitchFamily="34" charset="0"/>
          </a:endParaRPr>
        </a:p>
      </xdr:txBody>
    </xdr:sp>
    <xdr:clientData/>
  </xdr:twoCellAnchor>
  <xdr:twoCellAnchor>
    <xdr:from>
      <xdr:col>11</xdr:col>
      <xdr:colOff>76094</xdr:colOff>
      <xdr:row>5</xdr:row>
      <xdr:rowOff>79785</xdr:rowOff>
    </xdr:from>
    <xdr:to>
      <xdr:col>13</xdr:col>
      <xdr:colOff>226241</xdr:colOff>
      <xdr:row>7</xdr:row>
      <xdr:rowOff>108360</xdr:rowOff>
    </xdr:to>
    <xdr:sp macro="" textlink="'Pivot tables'!A5">
      <xdr:nvSpPr>
        <xdr:cNvPr id="61" name="TextBox 60">
          <a:extLst>
            <a:ext uri="{FF2B5EF4-FFF2-40B4-BE49-F238E27FC236}">
              <a16:creationId xmlns:a16="http://schemas.microsoft.com/office/drawing/2014/main" id="{1CB2620B-577E-0E3A-3285-06C2BE99CE0B}"/>
            </a:ext>
          </a:extLst>
        </xdr:cNvPr>
        <xdr:cNvSpPr txBox="1"/>
      </xdr:nvSpPr>
      <xdr:spPr>
        <a:xfrm>
          <a:off x="6786403" y="1042987"/>
          <a:ext cx="1370203" cy="413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9AAF86-EF5D-48CB-B6D0-8C438EFB390B}" type="TxLink">
            <a:rPr lang="en-US" sz="2000" b="0" i="0" u="none" strike="noStrike">
              <a:ln>
                <a:noFill/>
              </a:ln>
              <a:solidFill>
                <a:schemeClr val="bg1"/>
              </a:solidFill>
              <a:latin typeface="Calibri"/>
              <a:ea typeface="Calibri"/>
              <a:cs typeface="Calibri"/>
            </a:rPr>
            <a:pPr marL="0" indent="0"/>
            <a:t>₦1K</a:t>
          </a:fld>
          <a:endParaRPr lang="en-US" sz="2000">
            <a:ln>
              <a:noFill/>
            </a:ln>
            <a:solidFill>
              <a:schemeClr val="bg1"/>
            </a:solidFill>
            <a:latin typeface="+mn-lt"/>
            <a:ea typeface="+mn-ea"/>
            <a:cs typeface="Arial" panose="020B0604020202020204" pitchFamily="34" charset="0"/>
          </a:endParaRPr>
        </a:p>
      </xdr:txBody>
    </xdr:sp>
    <xdr:clientData/>
  </xdr:twoCellAnchor>
  <xdr:twoCellAnchor>
    <xdr:from>
      <xdr:col>14</xdr:col>
      <xdr:colOff>145929</xdr:colOff>
      <xdr:row>3</xdr:row>
      <xdr:rowOff>11986</xdr:rowOff>
    </xdr:from>
    <xdr:to>
      <xdr:col>17</xdr:col>
      <xdr:colOff>429820</xdr:colOff>
      <xdr:row>8</xdr:row>
      <xdr:rowOff>168050</xdr:rowOff>
    </xdr:to>
    <xdr:sp macro="" textlink="">
      <xdr:nvSpPr>
        <xdr:cNvPr id="11" name="Rectangle: Rounded Corners 10">
          <a:extLst>
            <a:ext uri="{FF2B5EF4-FFF2-40B4-BE49-F238E27FC236}">
              <a16:creationId xmlns:a16="http://schemas.microsoft.com/office/drawing/2014/main" id="{51D32FE2-8DFE-447F-AD49-D5F457F8EC62}"/>
            </a:ext>
          </a:extLst>
        </xdr:cNvPr>
        <xdr:cNvSpPr/>
      </xdr:nvSpPr>
      <xdr:spPr>
        <a:xfrm>
          <a:off x="8686322" y="589907"/>
          <a:ext cx="2113976" cy="1119267"/>
        </a:xfrm>
        <a:prstGeom prst="roundRect">
          <a:avLst>
            <a:gd name="adj" fmla="val 8975"/>
          </a:avLst>
        </a:prstGeom>
        <a:gradFill flip="none" rotWithShape="1">
          <a:gsLst>
            <a:gs pos="66000">
              <a:srgbClr val="00112E"/>
            </a:gs>
            <a:gs pos="98000">
              <a:srgbClr val="800043"/>
            </a:gs>
            <a:gs pos="98000">
              <a:srgbClr val="800043"/>
            </a:gs>
            <a:gs pos="100000">
              <a:srgbClr val="800043"/>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394405</xdr:colOff>
      <xdr:row>4</xdr:row>
      <xdr:rowOff>57257</xdr:rowOff>
    </xdr:from>
    <xdr:to>
      <xdr:col>15</xdr:col>
      <xdr:colOff>203905</xdr:colOff>
      <xdr:row>6</xdr:row>
      <xdr:rowOff>116547</xdr:rowOff>
    </xdr:to>
    <xdr:grpSp>
      <xdr:nvGrpSpPr>
        <xdr:cNvPr id="75" name="Group 74">
          <a:extLst>
            <a:ext uri="{FF2B5EF4-FFF2-40B4-BE49-F238E27FC236}">
              <a16:creationId xmlns:a16="http://schemas.microsoft.com/office/drawing/2014/main" id="{1CD5EE31-6936-7C0E-9A52-61D47424A58F}"/>
            </a:ext>
          </a:extLst>
        </xdr:cNvPr>
        <xdr:cNvGrpSpPr/>
      </xdr:nvGrpSpPr>
      <xdr:grpSpPr>
        <a:xfrm>
          <a:off x="8893636" y="810883"/>
          <a:ext cx="416588" cy="436104"/>
          <a:chOff x="8905979" y="868274"/>
          <a:chExt cx="419528" cy="444571"/>
        </a:xfrm>
      </xdr:grpSpPr>
      <xdr:sp macro="" textlink="">
        <xdr:nvSpPr>
          <xdr:cNvPr id="15" name="Oval 14">
            <a:extLst>
              <a:ext uri="{FF2B5EF4-FFF2-40B4-BE49-F238E27FC236}">
                <a16:creationId xmlns:a16="http://schemas.microsoft.com/office/drawing/2014/main" id="{C0DE7B1A-A57C-4BB3-9414-B8355B577FFC}"/>
              </a:ext>
            </a:extLst>
          </xdr:cNvPr>
          <xdr:cNvSpPr/>
        </xdr:nvSpPr>
        <xdr:spPr>
          <a:xfrm>
            <a:off x="8905979" y="868274"/>
            <a:ext cx="419528" cy="444571"/>
          </a:xfrm>
          <a:prstGeom prst="ellipse">
            <a:avLst/>
          </a:prstGeom>
          <a:solidFill>
            <a:srgbClr val="800043">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4" name="Picture 43">
            <a:extLst>
              <a:ext uri="{FF2B5EF4-FFF2-40B4-BE49-F238E27FC236}">
                <a16:creationId xmlns:a16="http://schemas.microsoft.com/office/drawing/2014/main" id="{7727B31A-0AFF-FD32-800F-DAE3EC521295}"/>
              </a:ext>
            </a:extLst>
          </xdr:cNvPr>
          <xdr:cNvPicPr>
            <a:picLocks noChangeAspect="1"/>
          </xdr:cNvPicPr>
        </xdr:nvPicPr>
        <xdr:blipFill>
          <a:blip xmlns:r="http://schemas.openxmlformats.org/officeDocument/2006/relationships" r:embed="rId6"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8972657" y="918039"/>
            <a:ext cx="285750" cy="287891"/>
          </a:xfrm>
          <a:prstGeom prst="rect">
            <a:avLst/>
          </a:prstGeom>
        </xdr:spPr>
      </xdr:pic>
    </xdr:grpSp>
    <xdr:clientData/>
  </xdr:twoCellAnchor>
  <xdr:twoCellAnchor>
    <xdr:from>
      <xdr:col>15</xdr:col>
      <xdr:colOff>126773</xdr:colOff>
      <xdr:row>3</xdr:row>
      <xdr:rowOff>137953</xdr:rowOff>
    </xdr:from>
    <xdr:to>
      <xdr:col>17</xdr:col>
      <xdr:colOff>508200</xdr:colOff>
      <xdr:row>5</xdr:row>
      <xdr:rowOff>97712</xdr:rowOff>
    </xdr:to>
    <xdr:sp macro="" textlink="">
      <xdr:nvSpPr>
        <xdr:cNvPr id="56" name="TextBox 55">
          <a:extLst>
            <a:ext uri="{FF2B5EF4-FFF2-40B4-BE49-F238E27FC236}">
              <a16:creationId xmlns:a16="http://schemas.microsoft.com/office/drawing/2014/main" id="{129C5041-A32C-4D37-ACB8-894797E701BF}"/>
            </a:ext>
          </a:extLst>
        </xdr:cNvPr>
        <xdr:cNvSpPr txBox="1"/>
      </xdr:nvSpPr>
      <xdr:spPr>
        <a:xfrm>
          <a:off x="9277194" y="715874"/>
          <a:ext cx="1601484" cy="3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ln>
                <a:noFill/>
              </a:ln>
              <a:solidFill>
                <a:schemeClr val="bg1">
                  <a:lumMod val="75000"/>
                </a:schemeClr>
              </a:solidFill>
              <a:latin typeface="+mn-lt"/>
              <a:ea typeface="+mn-ea"/>
              <a:cs typeface="Arial" panose="020B0604020202020204" pitchFamily="34" charset="0"/>
            </a:rPr>
            <a:t>Average</a:t>
          </a:r>
          <a:r>
            <a:rPr lang="en-US" sz="1600" baseline="0">
              <a:ln>
                <a:noFill/>
              </a:ln>
              <a:solidFill>
                <a:schemeClr val="bg1">
                  <a:lumMod val="75000"/>
                </a:schemeClr>
              </a:solidFill>
              <a:latin typeface="+mn-lt"/>
              <a:ea typeface="+mn-ea"/>
              <a:cs typeface="Arial" panose="020B0604020202020204" pitchFamily="34" charset="0"/>
            </a:rPr>
            <a:t> (AOV)</a:t>
          </a:r>
          <a:endParaRPr lang="en-US" sz="1600">
            <a:ln>
              <a:noFill/>
            </a:ln>
            <a:solidFill>
              <a:schemeClr val="bg1">
                <a:lumMod val="75000"/>
              </a:schemeClr>
            </a:solidFill>
            <a:latin typeface="+mn-lt"/>
            <a:ea typeface="+mn-ea"/>
            <a:cs typeface="Arial" panose="020B0604020202020204" pitchFamily="34" charset="0"/>
          </a:endParaRPr>
        </a:p>
      </xdr:txBody>
    </xdr:sp>
    <xdr:clientData/>
  </xdr:twoCellAnchor>
  <xdr:twoCellAnchor>
    <xdr:from>
      <xdr:col>15</xdr:col>
      <xdr:colOff>164276</xdr:colOff>
      <xdr:row>5</xdr:row>
      <xdr:rowOff>79785</xdr:rowOff>
    </xdr:from>
    <xdr:to>
      <xdr:col>17</xdr:col>
      <xdr:colOff>413613</xdr:colOff>
      <xdr:row>7</xdr:row>
      <xdr:rowOff>108360</xdr:rowOff>
    </xdr:to>
    <xdr:sp macro="" textlink="'Pivot tables'!D5">
      <xdr:nvSpPr>
        <xdr:cNvPr id="62" name="TextBox 61">
          <a:extLst>
            <a:ext uri="{FF2B5EF4-FFF2-40B4-BE49-F238E27FC236}">
              <a16:creationId xmlns:a16="http://schemas.microsoft.com/office/drawing/2014/main" id="{8B651F2F-2BC1-95E7-E814-A3D74FD248D5}"/>
            </a:ext>
          </a:extLst>
        </xdr:cNvPr>
        <xdr:cNvSpPr txBox="1"/>
      </xdr:nvSpPr>
      <xdr:spPr>
        <a:xfrm>
          <a:off x="9314697" y="1042987"/>
          <a:ext cx="1469394" cy="413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91A03C-2B74-4CF3-8026-AA80ECA27D16}" type="TxLink">
            <a:rPr lang="en-US" sz="2000" b="0" i="0" u="none" strike="noStrike">
              <a:ln>
                <a:noFill/>
              </a:ln>
              <a:solidFill>
                <a:schemeClr val="bg1"/>
              </a:solidFill>
              <a:latin typeface="Calibri"/>
              <a:ea typeface="Calibri"/>
              <a:cs typeface="Calibri"/>
            </a:rPr>
            <a:pPr marL="0" indent="0"/>
            <a:t>₦32K</a:t>
          </a:fld>
          <a:endParaRPr lang="en-US" sz="2000">
            <a:ln>
              <a:noFill/>
            </a:ln>
            <a:solidFill>
              <a:schemeClr val="bg1"/>
            </a:solidFill>
            <a:latin typeface="+mn-lt"/>
            <a:ea typeface="+mn-ea"/>
            <a:cs typeface="Arial" panose="020B0604020202020204" pitchFamily="34" charset="0"/>
          </a:endParaRPr>
        </a:p>
      </xdr:txBody>
    </xdr:sp>
    <xdr:clientData/>
  </xdr:twoCellAnchor>
  <xdr:twoCellAnchor>
    <xdr:from>
      <xdr:col>1</xdr:col>
      <xdr:colOff>371472</xdr:colOff>
      <xdr:row>9</xdr:row>
      <xdr:rowOff>104776</xdr:rowOff>
    </xdr:from>
    <xdr:to>
      <xdr:col>7</xdr:col>
      <xdr:colOff>323849</xdr:colOff>
      <xdr:row>25</xdr:row>
      <xdr:rowOff>114300</xdr:rowOff>
    </xdr:to>
    <xdr:sp macro="" textlink="">
      <xdr:nvSpPr>
        <xdr:cNvPr id="63" name="Rectangle: Rounded Corners 62">
          <a:extLst>
            <a:ext uri="{FF2B5EF4-FFF2-40B4-BE49-F238E27FC236}">
              <a16:creationId xmlns:a16="http://schemas.microsoft.com/office/drawing/2014/main" id="{801A016D-B5BC-6A35-EB7A-7F767BDA0D57}"/>
            </a:ext>
          </a:extLst>
        </xdr:cNvPr>
        <xdr:cNvSpPr/>
      </xdr:nvSpPr>
      <xdr:spPr>
        <a:xfrm>
          <a:off x="981072" y="1819276"/>
          <a:ext cx="3609977" cy="3057524"/>
        </a:xfrm>
        <a:prstGeom prst="roundRect">
          <a:avLst>
            <a:gd name="adj" fmla="val 345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400049</xdr:colOff>
      <xdr:row>10</xdr:row>
      <xdr:rowOff>95249</xdr:rowOff>
    </xdr:from>
    <xdr:to>
      <xdr:col>7</xdr:col>
      <xdr:colOff>257175</xdr:colOff>
      <xdr:row>23</xdr:row>
      <xdr:rowOff>152400</xdr:rowOff>
    </xdr:to>
    <xdr:graphicFrame macro="">
      <xdr:nvGraphicFramePr>
        <xdr:cNvPr id="4" name="Chart 3">
          <a:extLst>
            <a:ext uri="{FF2B5EF4-FFF2-40B4-BE49-F238E27FC236}">
              <a16:creationId xmlns:a16="http://schemas.microsoft.com/office/drawing/2014/main" id="{CEC98E08-9096-4059-A419-8EFBC01DB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411956</xdr:colOff>
      <xdr:row>9</xdr:row>
      <xdr:rowOff>102395</xdr:rowOff>
    </xdr:from>
    <xdr:to>
      <xdr:col>6</xdr:col>
      <xdr:colOff>519112</xdr:colOff>
      <xdr:row>11</xdr:row>
      <xdr:rowOff>64295</xdr:rowOff>
    </xdr:to>
    <xdr:sp macro="" textlink="">
      <xdr:nvSpPr>
        <xdr:cNvPr id="5" name="TextBox 4">
          <a:extLst>
            <a:ext uri="{FF2B5EF4-FFF2-40B4-BE49-F238E27FC236}">
              <a16:creationId xmlns:a16="http://schemas.microsoft.com/office/drawing/2014/main" id="{D64F3FA7-739E-4B31-8E51-5A64BFF71F8B}"/>
            </a:ext>
          </a:extLst>
        </xdr:cNvPr>
        <xdr:cNvSpPr txBox="1"/>
      </xdr:nvSpPr>
      <xdr:spPr>
        <a:xfrm>
          <a:off x="1019175" y="1816895"/>
          <a:ext cx="31432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a:ln>
                <a:noFill/>
              </a:ln>
              <a:solidFill>
                <a:schemeClr val="tx1"/>
              </a:solidFill>
              <a:latin typeface="+mn-lt"/>
              <a:ea typeface="+mn-ea"/>
              <a:cs typeface="Arial" panose="020B0604020202020204" pitchFamily="34" charset="0"/>
            </a:rPr>
            <a:t>Revenue</a:t>
          </a:r>
          <a:r>
            <a:rPr lang="en-US" sz="1600" baseline="0">
              <a:ln>
                <a:noFill/>
              </a:ln>
              <a:solidFill>
                <a:schemeClr val="tx1"/>
              </a:solidFill>
              <a:latin typeface="+mn-lt"/>
              <a:ea typeface="+mn-ea"/>
              <a:cs typeface="Arial" panose="020B0604020202020204" pitchFamily="34" charset="0"/>
            </a:rPr>
            <a:t> Contribution by Product</a:t>
          </a:r>
          <a:endParaRPr lang="en-US" sz="1600">
            <a:ln>
              <a:noFill/>
            </a:ln>
            <a:solidFill>
              <a:schemeClr val="tx1"/>
            </a:solidFill>
            <a:latin typeface="+mn-lt"/>
            <a:ea typeface="+mn-ea"/>
            <a:cs typeface="Arial" panose="020B0604020202020204" pitchFamily="34" charset="0"/>
          </a:endParaRPr>
        </a:p>
      </xdr:txBody>
    </xdr:sp>
    <xdr:clientData/>
  </xdr:twoCellAnchor>
  <xdr:twoCellAnchor>
    <xdr:from>
      <xdr:col>1</xdr:col>
      <xdr:colOff>381000</xdr:colOff>
      <xdr:row>23</xdr:row>
      <xdr:rowOff>38099</xdr:rowOff>
    </xdr:from>
    <xdr:to>
      <xdr:col>7</xdr:col>
      <xdr:colOff>273844</xdr:colOff>
      <xdr:row>26</xdr:row>
      <xdr:rowOff>35717</xdr:rowOff>
    </xdr:to>
    <xdr:sp macro="" textlink="'Pivot tables'!T15">
      <xdr:nvSpPr>
        <xdr:cNvPr id="6" name="TextBox 5">
          <a:extLst>
            <a:ext uri="{FF2B5EF4-FFF2-40B4-BE49-F238E27FC236}">
              <a16:creationId xmlns:a16="http://schemas.microsoft.com/office/drawing/2014/main" id="{E4B41239-297B-4873-BCEC-460C3C17AB61}"/>
            </a:ext>
          </a:extLst>
        </xdr:cNvPr>
        <xdr:cNvSpPr txBox="1"/>
      </xdr:nvSpPr>
      <xdr:spPr>
        <a:xfrm>
          <a:off x="988219" y="4419599"/>
          <a:ext cx="3536156" cy="569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09E216B-E653-4FF7-B149-5E9742F29406}" type="TxLink">
            <a:rPr lang="en-US" sz="1100" b="0" i="1" u="none" strike="noStrike">
              <a:ln>
                <a:noFill/>
              </a:ln>
              <a:solidFill>
                <a:schemeClr val="tx1">
                  <a:lumMod val="75000"/>
                  <a:lumOff val="25000"/>
                </a:schemeClr>
              </a:solidFill>
              <a:latin typeface="Calibri"/>
              <a:ea typeface="Calibri"/>
              <a:cs typeface="Calibri"/>
            </a:rPr>
            <a:pPr marL="0" indent="0" algn="ctr"/>
            <a:t>Sales are highly dominant in Rice (10kg) and Turkey , which together account for 63% of total sales across 10 products.</a:t>
          </a:fld>
          <a:endParaRPr lang="en-US" sz="1600" i="1">
            <a:ln>
              <a:noFill/>
            </a:ln>
            <a:solidFill>
              <a:schemeClr val="tx1">
                <a:lumMod val="75000"/>
                <a:lumOff val="25000"/>
              </a:schemeClr>
            </a:solidFill>
            <a:latin typeface="+mn-lt"/>
            <a:ea typeface="+mn-ea"/>
            <a:cs typeface="Arial" panose="020B0604020202020204" pitchFamily="34" charset="0"/>
          </a:endParaRPr>
        </a:p>
      </xdr:txBody>
    </xdr:sp>
    <xdr:clientData/>
  </xdr:twoCellAnchor>
  <xdr:twoCellAnchor>
    <xdr:from>
      <xdr:col>7</xdr:col>
      <xdr:colOff>385762</xdr:colOff>
      <xdr:row>9</xdr:row>
      <xdr:rowOff>104775</xdr:rowOff>
    </xdr:from>
    <xdr:to>
      <xdr:col>13</xdr:col>
      <xdr:colOff>290793</xdr:colOff>
      <xdr:row>25</xdr:row>
      <xdr:rowOff>85725</xdr:rowOff>
    </xdr:to>
    <xdr:sp macro="" textlink="">
      <xdr:nvSpPr>
        <xdr:cNvPr id="21" name="Rectangle: Rounded Corners 20">
          <a:extLst>
            <a:ext uri="{FF2B5EF4-FFF2-40B4-BE49-F238E27FC236}">
              <a16:creationId xmlns:a16="http://schemas.microsoft.com/office/drawing/2014/main" id="{40C98CA2-E2A4-4588-BA83-099C8E09F2D3}"/>
            </a:ext>
          </a:extLst>
        </xdr:cNvPr>
        <xdr:cNvSpPr/>
      </xdr:nvSpPr>
      <xdr:spPr>
        <a:xfrm>
          <a:off x="4636293" y="1819275"/>
          <a:ext cx="3548344" cy="3028950"/>
        </a:xfrm>
        <a:prstGeom prst="roundRect">
          <a:avLst>
            <a:gd name="adj" fmla="val 23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404814</xdr:colOff>
      <xdr:row>11</xdr:row>
      <xdr:rowOff>76199</xdr:rowOff>
    </xdr:from>
    <xdr:to>
      <xdr:col>13</xdr:col>
      <xdr:colOff>143737</xdr:colOff>
      <xdr:row>22</xdr:row>
      <xdr:rowOff>99996</xdr:rowOff>
    </xdr:to>
    <xdr:graphicFrame macro="">
      <xdr:nvGraphicFramePr>
        <xdr:cNvPr id="22" name="Chart 21">
          <a:extLst>
            <a:ext uri="{FF2B5EF4-FFF2-40B4-BE49-F238E27FC236}">
              <a16:creationId xmlns:a16="http://schemas.microsoft.com/office/drawing/2014/main" id="{04ACAE4A-0DB3-41F9-BD16-444869B42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435571</xdr:colOff>
      <xdr:row>9</xdr:row>
      <xdr:rowOff>114301</xdr:rowOff>
    </xdr:from>
    <xdr:to>
      <xdr:col>13</xdr:col>
      <xdr:colOff>361949</xdr:colOff>
      <xdr:row>11</xdr:row>
      <xdr:rowOff>81679</xdr:rowOff>
    </xdr:to>
    <xdr:sp macro="" textlink="">
      <xdr:nvSpPr>
        <xdr:cNvPr id="23" name="TextBox 22">
          <a:extLst>
            <a:ext uri="{FF2B5EF4-FFF2-40B4-BE49-F238E27FC236}">
              <a16:creationId xmlns:a16="http://schemas.microsoft.com/office/drawing/2014/main" id="{258D4A40-6AA2-4F57-B261-3DF8B85D11A8}"/>
            </a:ext>
          </a:extLst>
        </xdr:cNvPr>
        <xdr:cNvSpPr txBox="1"/>
      </xdr:nvSpPr>
      <xdr:spPr>
        <a:xfrm>
          <a:off x="4686102" y="1828801"/>
          <a:ext cx="3569691" cy="348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a:ln>
                <a:noFill/>
              </a:ln>
              <a:solidFill>
                <a:schemeClr val="tx1"/>
              </a:solidFill>
              <a:latin typeface="+mn-lt"/>
              <a:ea typeface="+mn-ea"/>
              <a:cs typeface="Arial" panose="020B0604020202020204" pitchFamily="34" charset="0"/>
            </a:rPr>
            <a:t>Revenue</a:t>
          </a:r>
          <a:r>
            <a:rPr lang="en-US" sz="1600" baseline="0">
              <a:ln>
                <a:noFill/>
              </a:ln>
              <a:solidFill>
                <a:schemeClr val="tx1"/>
              </a:solidFill>
              <a:latin typeface="+mn-lt"/>
              <a:ea typeface="+mn-ea"/>
              <a:cs typeface="Arial" panose="020B0604020202020204" pitchFamily="34" charset="0"/>
            </a:rPr>
            <a:t> by Region (Performance focus)</a:t>
          </a:r>
          <a:endParaRPr lang="en-US" sz="1600">
            <a:ln>
              <a:noFill/>
            </a:ln>
            <a:solidFill>
              <a:schemeClr val="tx1"/>
            </a:solidFill>
            <a:latin typeface="+mn-lt"/>
            <a:ea typeface="+mn-ea"/>
            <a:cs typeface="Arial" panose="020B0604020202020204" pitchFamily="34" charset="0"/>
          </a:endParaRPr>
        </a:p>
      </xdr:txBody>
    </xdr:sp>
    <xdr:clientData/>
  </xdr:twoCellAnchor>
  <xdr:twoCellAnchor>
    <xdr:from>
      <xdr:col>8</xdr:col>
      <xdr:colOff>46567</xdr:colOff>
      <xdr:row>22</xdr:row>
      <xdr:rowOff>76200</xdr:rowOff>
    </xdr:from>
    <xdr:to>
      <xdr:col>13</xdr:col>
      <xdr:colOff>153224</xdr:colOff>
      <xdr:row>25</xdr:row>
      <xdr:rowOff>23811</xdr:rowOff>
    </xdr:to>
    <xdr:sp macro="" textlink="'Pivot tables'!T18">
      <xdr:nvSpPr>
        <xdr:cNvPr id="24" name="TextBox 23">
          <a:extLst>
            <a:ext uri="{FF2B5EF4-FFF2-40B4-BE49-F238E27FC236}">
              <a16:creationId xmlns:a16="http://schemas.microsoft.com/office/drawing/2014/main" id="{72828C66-6885-4990-9849-92E8161B6CD7}"/>
            </a:ext>
          </a:extLst>
        </xdr:cNvPr>
        <xdr:cNvSpPr txBox="1"/>
      </xdr:nvSpPr>
      <xdr:spPr>
        <a:xfrm>
          <a:off x="4904317" y="4267200"/>
          <a:ext cx="3142751" cy="519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15EC0F0-B471-453B-9885-8491E1728220}" type="TxLink">
            <a:rPr lang="en-US" sz="1200" b="0" i="1" u="none" strike="noStrike">
              <a:ln>
                <a:noFill/>
              </a:ln>
              <a:solidFill>
                <a:schemeClr val="tx1">
                  <a:lumMod val="75000"/>
                  <a:lumOff val="25000"/>
                </a:schemeClr>
              </a:solidFill>
              <a:latin typeface="Calibri"/>
              <a:ea typeface="Calibri"/>
              <a:cs typeface="Calibri"/>
            </a:rPr>
            <a:pPr marL="0" indent="0" algn="ctr"/>
            <a:t>Lagos is the lowest performing region,contributing 22.3% of total revenue.</a:t>
          </a:fld>
          <a:endParaRPr lang="en-US" sz="1200" b="0" i="1" u="none" strike="noStrike">
            <a:ln>
              <a:noFill/>
            </a:ln>
            <a:solidFill>
              <a:schemeClr val="tx1">
                <a:lumMod val="75000"/>
                <a:lumOff val="25000"/>
              </a:schemeClr>
            </a:solidFill>
            <a:latin typeface="Calibri"/>
            <a:ea typeface="Calibri"/>
            <a:cs typeface="Calibri"/>
          </a:endParaRPr>
        </a:p>
      </xdr:txBody>
    </xdr:sp>
    <xdr:clientData/>
  </xdr:twoCellAnchor>
  <xdr:twoCellAnchor>
    <xdr:from>
      <xdr:col>7</xdr:col>
      <xdr:colOff>123629</xdr:colOff>
      <xdr:row>25</xdr:row>
      <xdr:rowOff>144364</xdr:rowOff>
    </xdr:from>
    <xdr:to>
      <xdr:col>14</xdr:col>
      <xdr:colOff>207066</xdr:colOff>
      <xdr:row>44</xdr:row>
      <xdr:rowOff>0</xdr:rowOff>
    </xdr:to>
    <xdr:sp macro="" textlink="">
      <xdr:nvSpPr>
        <xdr:cNvPr id="19" name="Rectangle: Rounded Corners 18">
          <a:extLst>
            <a:ext uri="{FF2B5EF4-FFF2-40B4-BE49-F238E27FC236}">
              <a16:creationId xmlns:a16="http://schemas.microsoft.com/office/drawing/2014/main" id="{5336A14C-D14F-42D1-957C-46BF619881A0}"/>
            </a:ext>
          </a:extLst>
        </xdr:cNvPr>
        <xdr:cNvSpPr/>
      </xdr:nvSpPr>
      <xdr:spPr>
        <a:xfrm>
          <a:off x="4375368" y="4975886"/>
          <a:ext cx="4335176" cy="3527592"/>
        </a:xfrm>
        <a:prstGeom prst="roundRect">
          <a:avLst>
            <a:gd name="adj" fmla="val 23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180588</xdr:colOff>
      <xdr:row>26</xdr:row>
      <xdr:rowOff>127446</xdr:rowOff>
    </xdr:from>
    <xdr:to>
      <xdr:col>14</xdr:col>
      <xdr:colOff>55219</xdr:colOff>
      <xdr:row>40</xdr:row>
      <xdr:rowOff>167704</xdr:rowOff>
    </xdr:to>
    <xdr:graphicFrame macro="">
      <xdr:nvGraphicFramePr>
        <xdr:cNvPr id="7" name="Chart 6">
          <a:extLst>
            <a:ext uri="{FF2B5EF4-FFF2-40B4-BE49-F238E27FC236}">
              <a16:creationId xmlns:a16="http://schemas.microsoft.com/office/drawing/2014/main" id="{5C4D9B6F-9C70-4B2D-B4FD-28C5C8E8C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123824</xdr:colOff>
      <xdr:row>25</xdr:row>
      <xdr:rowOff>161926</xdr:rowOff>
    </xdr:from>
    <xdr:to>
      <xdr:col>13</xdr:col>
      <xdr:colOff>51539</xdr:colOff>
      <xdr:row>27</xdr:row>
      <xdr:rowOff>136181</xdr:rowOff>
    </xdr:to>
    <xdr:sp macro="" textlink="">
      <xdr:nvSpPr>
        <xdr:cNvPr id="28" name="TextBox 27">
          <a:extLst>
            <a:ext uri="{FF2B5EF4-FFF2-40B4-BE49-F238E27FC236}">
              <a16:creationId xmlns:a16="http://schemas.microsoft.com/office/drawing/2014/main" id="{33C4AB78-3F58-44AE-86D9-0D57E9DE6AED}"/>
            </a:ext>
          </a:extLst>
        </xdr:cNvPr>
        <xdr:cNvSpPr txBox="1"/>
      </xdr:nvSpPr>
      <xdr:spPr>
        <a:xfrm>
          <a:off x="4374355" y="4924426"/>
          <a:ext cx="3571028" cy="355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a:ln>
                <a:noFill/>
              </a:ln>
              <a:solidFill>
                <a:schemeClr val="tx1"/>
              </a:solidFill>
              <a:latin typeface="+mn-lt"/>
              <a:ea typeface="+mn-ea"/>
              <a:cs typeface="Arial" panose="020B0604020202020204" pitchFamily="34" charset="0"/>
            </a:rPr>
            <a:t>Revenue</a:t>
          </a:r>
          <a:r>
            <a:rPr lang="en-US" sz="1600" baseline="0">
              <a:ln>
                <a:noFill/>
              </a:ln>
              <a:solidFill>
                <a:schemeClr val="tx1"/>
              </a:solidFill>
              <a:latin typeface="+mn-lt"/>
              <a:ea typeface="+mn-ea"/>
              <a:cs typeface="Arial" panose="020B0604020202020204" pitchFamily="34" charset="0"/>
            </a:rPr>
            <a:t> by Days (Top performing Days)</a:t>
          </a:r>
          <a:endParaRPr lang="en-US" sz="1600">
            <a:ln>
              <a:noFill/>
            </a:ln>
            <a:solidFill>
              <a:schemeClr val="tx1"/>
            </a:solidFill>
            <a:latin typeface="+mn-lt"/>
            <a:ea typeface="+mn-ea"/>
            <a:cs typeface="Arial" panose="020B0604020202020204" pitchFamily="34" charset="0"/>
          </a:endParaRPr>
        </a:p>
      </xdr:txBody>
    </xdr:sp>
    <xdr:clientData/>
  </xdr:twoCellAnchor>
  <xdr:twoCellAnchor>
    <xdr:from>
      <xdr:col>7</xdr:col>
      <xdr:colOff>99342</xdr:colOff>
      <xdr:row>40</xdr:row>
      <xdr:rowOff>119062</xdr:rowOff>
    </xdr:from>
    <xdr:to>
      <xdr:col>14</xdr:col>
      <xdr:colOff>154781</xdr:colOff>
      <xdr:row>43</xdr:row>
      <xdr:rowOff>154780</xdr:rowOff>
    </xdr:to>
    <xdr:sp macro="" textlink="'Pivot tables'!T22">
      <xdr:nvSpPr>
        <xdr:cNvPr id="29" name="TextBox 28">
          <a:extLst>
            <a:ext uri="{FF2B5EF4-FFF2-40B4-BE49-F238E27FC236}">
              <a16:creationId xmlns:a16="http://schemas.microsoft.com/office/drawing/2014/main" id="{D4DDE200-81AF-47CE-A25A-EFA6703A9312}"/>
            </a:ext>
          </a:extLst>
        </xdr:cNvPr>
        <xdr:cNvSpPr txBox="1"/>
      </xdr:nvSpPr>
      <xdr:spPr>
        <a:xfrm>
          <a:off x="4349873" y="7739062"/>
          <a:ext cx="4305971" cy="607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39D46FF-78F2-420B-85C9-2D0147F8AE3D}" type="TxLink">
            <a:rPr lang="en-US" sz="1100" b="0" i="1" u="none" strike="noStrike">
              <a:ln>
                <a:noFill/>
              </a:ln>
              <a:solidFill>
                <a:schemeClr val="tx1">
                  <a:lumMod val="75000"/>
                  <a:lumOff val="25000"/>
                </a:schemeClr>
              </a:solidFill>
              <a:latin typeface="Calibri"/>
              <a:ea typeface="Calibri"/>
              <a:cs typeface="Calibri"/>
            </a:rPr>
            <a:pPr marL="0" indent="0" algn="ctr"/>
            <a:t>Sun and Fri records the highest sales volume, contributing 16.8% and 15.2% respectively including stronger customer activity during weekends.</a:t>
          </a:fld>
          <a:endParaRPr lang="en-US" sz="1100" b="0" i="1" u="none" strike="noStrike">
            <a:ln>
              <a:noFill/>
            </a:ln>
            <a:solidFill>
              <a:schemeClr val="tx1">
                <a:lumMod val="75000"/>
                <a:lumOff val="25000"/>
              </a:schemeClr>
            </a:solidFill>
            <a:latin typeface="Calibri"/>
            <a:ea typeface="Calibri"/>
            <a:cs typeface="Calibri"/>
          </a:endParaRPr>
        </a:p>
      </xdr:txBody>
    </xdr:sp>
    <xdr:clientData/>
  </xdr:twoCellAnchor>
  <xdr:twoCellAnchor>
    <xdr:from>
      <xdr:col>1</xdr:col>
      <xdr:colOff>342901</xdr:colOff>
      <xdr:row>0</xdr:row>
      <xdr:rowOff>0</xdr:rowOff>
    </xdr:from>
    <xdr:to>
      <xdr:col>8</xdr:col>
      <xdr:colOff>381000</xdr:colOff>
      <xdr:row>1</xdr:row>
      <xdr:rowOff>161925</xdr:rowOff>
    </xdr:to>
    <xdr:sp macro="" textlink="">
      <xdr:nvSpPr>
        <xdr:cNvPr id="36" name="TextBox 35">
          <a:extLst>
            <a:ext uri="{FF2B5EF4-FFF2-40B4-BE49-F238E27FC236}">
              <a16:creationId xmlns:a16="http://schemas.microsoft.com/office/drawing/2014/main" id="{E1E1281F-C289-07B8-E76C-7142E206B892}"/>
            </a:ext>
          </a:extLst>
        </xdr:cNvPr>
        <xdr:cNvSpPr txBox="1"/>
      </xdr:nvSpPr>
      <xdr:spPr>
        <a:xfrm>
          <a:off x="952501" y="0"/>
          <a:ext cx="430529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ln>
                <a:noFill/>
              </a:ln>
              <a:solidFill>
                <a:schemeClr val="bg1"/>
              </a:solidFill>
            </a:rPr>
            <a:t>Retail Store Sales Analysis </a:t>
          </a:r>
        </a:p>
      </xdr:txBody>
    </xdr:sp>
    <xdr:clientData/>
  </xdr:twoCellAnchor>
  <xdr:twoCellAnchor editAs="oneCell">
    <xdr:from>
      <xdr:col>1</xdr:col>
      <xdr:colOff>133349</xdr:colOff>
      <xdr:row>0</xdr:row>
      <xdr:rowOff>85114</xdr:rowOff>
    </xdr:from>
    <xdr:to>
      <xdr:col>1</xdr:col>
      <xdr:colOff>400050</xdr:colOff>
      <xdr:row>1</xdr:row>
      <xdr:rowOff>161315</xdr:rowOff>
    </xdr:to>
    <xdr:pic>
      <xdr:nvPicPr>
        <xdr:cNvPr id="39" name="Picture 38">
          <a:extLst>
            <a:ext uri="{FF2B5EF4-FFF2-40B4-BE49-F238E27FC236}">
              <a16:creationId xmlns:a16="http://schemas.microsoft.com/office/drawing/2014/main" id="{B7781CB3-1EEA-2E1A-75FF-BB56B18E4BC9}"/>
            </a:ext>
          </a:extLst>
        </xdr:cNvPr>
        <xdr:cNvPicPr>
          <a:picLocks noChangeAspect="1"/>
        </xdr:cNvPicPr>
      </xdr:nvPicPr>
      <xdr:blipFill>
        <a:blip xmlns:r="http://schemas.openxmlformats.org/officeDocument/2006/relationships" r:embed="rId10" cstate="print">
          <a:lum bright="70000" contrast="-70000"/>
          <a:extLst>
            <a:ext uri="{BEBA8EAE-BF5A-486C-A8C5-ECC9F3942E4B}">
              <a14:imgProps xmlns:a14="http://schemas.microsoft.com/office/drawing/2010/main">
                <a14:imgLayer r:embed="rId11">
                  <a14:imgEffect>
                    <a14:saturation sat="0"/>
                  </a14:imgEffect>
                </a14:imgLayer>
              </a14:imgProps>
            </a:ext>
            <a:ext uri="{28A0092B-C50C-407E-A947-70E740481C1C}">
              <a14:useLocalDpi xmlns:a14="http://schemas.microsoft.com/office/drawing/2010/main" val="0"/>
            </a:ext>
          </a:extLst>
        </a:blip>
        <a:stretch>
          <a:fillRect/>
        </a:stretch>
      </xdr:blipFill>
      <xdr:spPr>
        <a:xfrm>
          <a:off x="742949" y="85114"/>
          <a:ext cx="266701" cy="266701"/>
        </a:xfrm>
        <a:prstGeom prst="rect">
          <a:avLst/>
        </a:prstGeom>
      </xdr:spPr>
    </xdr:pic>
    <xdr:clientData/>
  </xdr:twoCellAnchor>
  <xdr:twoCellAnchor editAs="oneCell">
    <xdr:from>
      <xdr:col>10</xdr:col>
      <xdr:colOff>47623</xdr:colOff>
      <xdr:row>0</xdr:row>
      <xdr:rowOff>9525</xdr:rowOff>
    </xdr:from>
    <xdr:to>
      <xdr:col>21</xdr:col>
      <xdr:colOff>547686</xdr:colOff>
      <xdr:row>2</xdr:row>
      <xdr:rowOff>142875</xdr:rowOff>
    </xdr:to>
    <mc:AlternateContent xmlns:mc="http://schemas.openxmlformats.org/markup-compatibility/2006" xmlns:a14="http://schemas.microsoft.com/office/drawing/2010/main">
      <mc:Choice Requires="a14">
        <xdr:graphicFrame macro="">
          <xdr:nvGraphicFramePr>
            <xdr:cNvPr id="41" name="Month name">
              <a:extLst>
                <a:ext uri="{FF2B5EF4-FFF2-40B4-BE49-F238E27FC236}">
                  <a16:creationId xmlns:a16="http://schemas.microsoft.com/office/drawing/2014/main" id="{F9C2237D-338C-419A-97D3-D8060A35102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5905500" y="9525"/>
              <a:ext cx="6934200" cy="514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303696</xdr:colOff>
      <xdr:row>25</xdr:row>
      <xdr:rowOff>133350</xdr:rowOff>
    </xdr:from>
    <xdr:to>
      <xdr:col>22</xdr:col>
      <xdr:colOff>262282</xdr:colOff>
      <xdr:row>44</xdr:row>
      <xdr:rowOff>41413</xdr:rowOff>
    </xdr:to>
    <xdr:sp macro="" textlink="">
      <xdr:nvSpPr>
        <xdr:cNvPr id="31" name="Rectangle: Rounded Corners 30">
          <a:extLst>
            <a:ext uri="{FF2B5EF4-FFF2-40B4-BE49-F238E27FC236}">
              <a16:creationId xmlns:a16="http://schemas.microsoft.com/office/drawing/2014/main" id="{EB7F2274-AF26-4CF7-85FC-333B3A3D797A}"/>
            </a:ext>
          </a:extLst>
        </xdr:cNvPr>
        <xdr:cNvSpPr/>
      </xdr:nvSpPr>
      <xdr:spPr>
        <a:xfrm>
          <a:off x="8807174" y="4964872"/>
          <a:ext cx="4817717" cy="3580019"/>
        </a:xfrm>
        <a:prstGeom prst="roundRect">
          <a:avLst>
            <a:gd name="adj" fmla="val 23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390526</xdr:colOff>
      <xdr:row>25</xdr:row>
      <xdr:rowOff>119201</xdr:rowOff>
    </xdr:from>
    <xdr:to>
      <xdr:col>18</xdr:col>
      <xdr:colOff>51245</xdr:colOff>
      <xdr:row>27</xdr:row>
      <xdr:rowOff>109478</xdr:rowOff>
    </xdr:to>
    <xdr:sp macro="" textlink="">
      <xdr:nvSpPr>
        <xdr:cNvPr id="32" name="TextBox 31">
          <a:extLst>
            <a:ext uri="{FF2B5EF4-FFF2-40B4-BE49-F238E27FC236}">
              <a16:creationId xmlns:a16="http://schemas.microsoft.com/office/drawing/2014/main" id="{274FB283-3A0B-4345-AAED-C32FA5468EE9}"/>
            </a:ext>
          </a:extLst>
        </xdr:cNvPr>
        <xdr:cNvSpPr txBox="1"/>
      </xdr:nvSpPr>
      <xdr:spPr>
        <a:xfrm>
          <a:off x="8891589" y="4881701"/>
          <a:ext cx="2089594" cy="371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a:ln>
                <a:noFill/>
              </a:ln>
              <a:solidFill>
                <a:schemeClr val="tx1"/>
              </a:solidFill>
              <a:latin typeface="+mn-lt"/>
              <a:ea typeface="+mn-ea"/>
              <a:cs typeface="Arial" panose="020B0604020202020204" pitchFamily="34" charset="0"/>
            </a:rPr>
            <a:t>Sales</a:t>
          </a:r>
          <a:r>
            <a:rPr lang="en-US" sz="1600" baseline="0">
              <a:ln>
                <a:noFill/>
              </a:ln>
              <a:solidFill>
                <a:schemeClr val="tx1"/>
              </a:solidFill>
              <a:latin typeface="+mn-lt"/>
              <a:ea typeface="+mn-ea"/>
              <a:cs typeface="Arial" panose="020B0604020202020204" pitchFamily="34" charset="0"/>
            </a:rPr>
            <a:t> Trend by  Month</a:t>
          </a:r>
          <a:endParaRPr lang="en-US" sz="1600">
            <a:ln>
              <a:noFill/>
            </a:ln>
            <a:solidFill>
              <a:schemeClr val="tx1"/>
            </a:solidFill>
            <a:latin typeface="+mn-lt"/>
            <a:ea typeface="+mn-ea"/>
            <a:cs typeface="Arial" panose="020B0604020202020204" pitchFamily="34" charset="0"/>
          </a:endParaRPr>
        </a:p>
      </xdr:txBody>
    </xdr:sp>
    <xdr:clientData/>
  </xdr:twoCellAnchor>
  <xdr:twoCellAnchor>
    <xdr:from>
      <xdr:col>14</xdr:col>
      <xdr:colOff>524036</xdr:colOff>
      <xdr:row>40</xdr:row>
      <xdr:rowOff>166688</xdr:rowOff>
    </xdr:from>
    <xdr:to>
      <xdr:col>21</xdr:col>
      <xdr:colOff>559593</xdr:colOff>
      <xdr:row>43</xdr:row>
      <xdr:rowOff>166687</xdr:rowOff>
    </xdr:to>
    <xdr:sp macro="" textlink="'Pivot tables'!T24">
      <xdr:nvSpPr>
        <xdr:cNvPr id="34" name="TextBox 33">
          <a:extLst>
            <a:ext uri="{FF2B5EF4-FFF2-40B4-BE49-F238E27FC236}">
              <a16:creationId xmlns:a16="http://schemas.microsoft.com/office/drawing/2014/main" id="{F6BD3EEF-6D21-4A29-B911-1AFF0668D1FF}"/>
            </a:ext>
          </a:extLst>
        </xdr:cNvPr>
        <xdr:cNvSpPr txBox="1"/>
      </xdr:nvSpPr>
      <xdr:spPr>
        <a:xfrm>
          <a:off x="9025099" y="7786688"/>
          <a:ext cx="4286088"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223CCE8-BA50-4339-AE50-E8F5E1C1C4F8}" type="TxLink">
            <a:rPr lang="en-US" sz="1200" b="0" i="1" u="none" strike="noStrike">
              <a:ln>
                <a:noFill/>
              </a:ln>
              <a:solidFill>
                <a:schemeClr val="tx1">
                  <a:lumMod val="75000"/>
                  <a:lumOff val="25000"/>
                </a:schemeClr>
              </a:solidFill>
              <a:latin typeface="Calibri"/>
              <a:ea typeface="Calibri"/>
              <a:cs typeface="Calibri"/>
            </a:rPr>
            <a:pPr marL="0" indent="0" algn="ctr"/>
            <a:t>Sales peaked in Aug resulting to 13.3% of total revenue, while Jan recorded the lowest sales of 5.7% of total revenue.</a:t>
          </a:fld>
          <a:endParaRPr lang="en-US" sz="1200" b="0" i="1" u="none" strike="noStrike">
            <a:ln>
              <a:noFill/>
            </a:ln>
            <a:solidFill>
              <a:schemeClr val="tx1">
                <a:lumMod val="75000"/>
                <a:lumOff val="25000"/>
              </a:schemeClr>
            </a:solidFill>
            <a:latin typeface="Calibri"/>
            <a:ea typeface="Calibri"/>
            <a:cs typeface="Calibri"/>
          </a:endParaRPr>
        </a:p>
      </xdr:txBody>
    </xdr:sp>
    <xdr:clientData/>
  </xdr:twoCellAnchor>
  <xdr:twoCellAnchor>
    <xdr:from>
      <xdr:col>14</xdr:col>
      <xdr:colOff>358913</xdr:colOff>
      <xdr:row>27</xdr:row>
      <xdr:rowOff>0</xdr:rowOff>
    </xdr:from>
    <xdr:to>
      <xdr:col>22</xdr:col>
      <xdr:colOff>165652</xdr:colOff>
      <xdr:row>41</xdr:row>
      <xdr:rowOff>55217</xdr:rowOff>
    </xdr:to>
    <xdr:graphicFrame macro="">
      <xdr:nvGraphicFramePr>
        <xdr:cNvPr id="47" name="Chart 46">
          <a:extLst>
            <a:ext uri="{FF2B5EF4-FFF2-40B4-BE49-F238E27FC236}">
              <a16:creationId xmlns:a16="http://schemas.microsoft.com/office/drawing/2014/main" id="{C8536E82-9E8C-489E-B513-16C4988E9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339800</xdr:colOff>
      <xdr:row>9</xdr:row>
      <xdr:rowOff>74649</xdr:rowOff>
    </xdr:from>
    <xdr:to>
      <xdr:col>22</xdr:col>
      <xdr:colOff>261937</xdr:colOff>
      <xdr:row>25</xdr:row>
      <xdr:rowOff>65124</xdr:rowOff>
    </xdr:to>
    <xdr:sp macro="" textlink="">
      <xdr:nvSpPr>
        <xdr:cNvPr id="25" name="Rectangle: Rounded Corners 24">
          <a:extLst>
            <a:ext uri="{FF2B5EF4-FFF2-40B4-BE49-F238E27FC236}">
              <a16:creationId xmlns:a16="http://schemas.microsoft.com/office/drawing/2014/main" id="{D0CE1004-8E95-4C6A-A41D-14F7A05FE193}"/>
            </a:ext>
          </a:extLst>
        </xdr:cNvPr>
        <xdr:cNvSpPr/>
      </xdr:nvSpPr>
      <xdr:spPr>
        <a:xfrm>
          <a:off x="8233644" y="1789149"/>
          <a:ext cx="5387106" cy="3038475"/>
        </a:xfrm>
        <a:prstGeom prst="roundRect">
          <a:avLst>
            <a:gd name="adj" fmla="val 23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481932</xdr:colOff>
      <xdr:row>10</xdr:row>
      <xdr:rowOff>85618</xdr:rowOff>
    </xdr:from>
    <xdr:to>
      <xdr:col>22</xdr:col>
      <xdr:colOff>53511</xdr:colOff>
      <xdr:row>22</xdr:row>
      <xdr:rowOff>64213</xdr:rowOff>
    </xdr:to>
    <xdr:graphicFrame macro="">
      <xdr:nvGraphicFramePr>
        <xdr:cNvPr id="26" name="Chart 25">
          <a:extLst>
            <a:ext uri="{FF2B5EF4-FFF2-40B4-BE49-F238E27FC236}">
              <a16:creationId xmlns:a16="http://schemas.microsoft.com/office/drawing/2014/main" id="{0E38CAB5-E7A8-4B0A-95A3-97C8730F0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401235</xdr:colOff>
      <xdr:row>22</xdr:row>
      <xdr:rowOff>32862</xdr:rowOff>
    </xdr:from>
    <xdr:to>
      <xdr:col>21</xdr:col>
      <xdr:colOff>559593</xdr:colOff>
      <xdr:row>25</xdr:row>
      <xdr:rowOff>107155</xdr:rowOff>
    </xdr:to>
    <xdr:sp macro="" textlink="'Pivot tables'!T20">
      <xdr:nvSpPr>
        <xdr:cNvPr id="27" name="TextBox 26">
          <a:extLst>
            <a:ext uri="{FF2B5EF4-FFF2-40B4-BE49-F238E27FC236}">
              <a16:creationId xmlns:a16="http://schemas.microsoft.com/office/drawing/2014/main" id="{79B087C8-90BF-4EFA-B726-69C19A0400F3}"/>
            </a:ext>
          </a:extLst>
        </xdr:cNvPr>
        <xdr:cNvSpPr txBox="1"/>
      </xdr:nvSpPr>
      <xdr:spPr>
        <a:xfrm>
          <a:off x="8295079" y="4223862"/>
          <a:ext cx="5016108" cy="645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24C8E48-CBAC-477F-9690-E50A1CB76977}" type="TxLink">
            <a:rPr lang="en-US" sz="1100" b="0" i="1" u="none" strike="noStrike">
              <a:ln>
                <a:noFill/>
              </a:ln>
              <a:solidFill>
                <a:schemeClr val="tx1">
                  <a:lumMod val="75000"/>
                  <a:lumOff val="25000"/>
                </a:schemeClr>
              </a:solidFill>
              <a:latin typeface="Calibri"/>
              <a:ea typeface="Calibri"/>
              <a:cs typeface="Calibri"/>
            </a:rPr>
            <a:pPr marL="0" indent="0" algn="ctr"/>
            <a:t>Aishat is the highest-performing sales rep accounting for 24% of total revenue, while Grace contributes 4.8% indicating a significant variation in individual sales performance.</a:t>
          </a:fld>
          <a:endParaRPr lang="en-US" sz="1100" b="0" i="1" u="none" strike="noStrike">
            <a:ln>
              <a:noFill/>
            </a:ln>
            <a:solidFill>
              <a:schemeClr val="tx1">
                <a:lumMod val="75000"/>
                <a:lumOff val="25000"/>
              </a:schemeClr>
            </a:solidFill>
            <a:latin typeface="Calibri"/>
            <a:ea typeface="Calibri"/>
            <a:cs typeface="Calibri"/>
          </a:endParaRPr>
        </a:p>
      </xdr:txBody>
    </xdr:sp>
    <xdr:clientData/>
  </xdr:twoCellAnchor>
  <xdr:twoCellAnchor>
    <xdr:from>
      <xdr:col>13</xdr:col>
      <xdr:colOff>378127</xdr:colOff>
      <xdr:row>9</xdr:row>
      <xdr:rowOff>74650</xdr:rowOff>
    </xdr:from>
    <xdr:to>
      <xdr:col>19</xdr:col>
      <xdr:colOff>563628</xdr:colOff>
      <xdr:row>11</xdr:row>
      <xdr:rowOff>36134</xdr:rowOff>
    </xdr:to>
    <xdr:sp macro="" textlink="">
      <xdr:nvSpPr>
        <xdr:cNvPr id="57" name="TextBox 56">
          <a:extLst>
            <a:ext uri="{FF2B5EF4-FFF2-40B4-BE49-F238E27FC236}">
              <a16:creationId xmlns:a16="http://schemas.microsoft.com/office/drawing/2014/main" id="{4E4431DC-FBFD-427A-BA80-3D3EFF3364BF}"/>
            </a:ext>
          </a:extLst>
        </xdr:cNvPr>
        <xdr:cNvSpPr txBox="1"/>
      </xdr:nvSpPr>
      <xdr:spPr>
        <a:xfrm>
          <a:off x="8308492" y="1808414"/>
          <a:ext cx="3845670" cy="346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a:ln>
                <a:noFill/>
              </a:ln>
              <a:solidFill>
                <a:schemeClr val="tx1"/>
              </a:solidFill>
              <a:latin typeface="+mn-lt"/>
              <a:ea typeface="+mn-ea"/>
              <a:cs typeface="Arial" panose="020B0604020202020204" pitchFamily="34" charset="0"/>
            </a:rPr>
            <a:t>Top</a:t>
          </a:r>
          <a:r>
            <a:rPr lang="en-US" sz="1600" baseline="0">
              <a:ln>
                <a:noFill/>
              </a:ln>
              <a:solidFill>
                <a:schemeClr val="tx1"/>
              </a:solidFill>
              <a:latin typeface="+mn-lt"/>
              <a:ea typeface="+mn-ea"/>
              <a:cs typeface="Arial" panose="020B0604020202020204" pitchFamily="34" charset="0"/>
            </a:rPr>
            <a:t> &amp; Lowest Performing Sales Reps</a:t>
          </a:r>
          <a:endParaRPr lang="en-US" sz="1600">
            <a:ln>
              <a:noFill/>
            </a:ln>
            <a:solidFill>
              <a:schemeClr val="tx1"/>
            </a:solidFill>
            <a:latin typeface="+mn-lt"/>
            <a:ea typeface="+mn-ea"/>
            <a:cs typeface="Arial" panose="020B0604020202020204" pitchFamily="34" charset="0"/>
          </a:endParaRPr>
        </a:p>
      </xdr:txBody>
    </xdr:sp>
    <xdr:clientData/>
  </xdr:twoCellAnchor>
  <xdr:twoCellAnchor>
    <xdr:from>
      <xdr:col>6</xdr:col>
      <xdr:colOff>171312</xdr:colOff>
      <xdr:row>4</xdr:row>
      <xdr:rowOff>57257</xdr:rowOff>
    </xdr:from>
    <xdr:to>
      <xdr:col>6</xdr:col>
      <xdr:colOff>589020</xdr:colOff>
      <xdr:row>6</xdr:row>
      <xdr:rowOff>101243</xdr:rowOff>
    </xdr:to>
    <xdr:sp macro="" textlink="">
      <xdr:nvSpPr>
        <xdr:cNvPr id="17" name="Oval 16">
          <a:extLst>
            <a:ext uri="{FF2B5EF4-FFF2-40B4-BE49-F238E27FC236}">
              <a16:creationId xmlns:a16="http://schemas.microsoft.com/office/drawing/2014/main" id="{21609B75-6584-4110-B277-5F9026EC28FF}"/>
            </a:ext>
          </a:extLst>
        </xdr:cNvPr>
        <xdr:cNvSpPr/>
      </xdr:nvSpPr>
      <xdr:spPr>
        <a:xfrm>
          <a:off x="3831481" y="827819"/>
          <a:ext cx="417708" cy="429267"/>
        </a:xfrm>
        <a:prstGeom prst="ellipse">
          <a:avLst/>
        </a:prstGeom>
        <a:solidFill>
          <a:schemeClr val="accent1">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561313</xdr:colOff>
      <xdr:row>3</xdr:row>
      <xdr:rowOff>137953</xdr:rowOff>
    </xdr:from>
    <xdr:to>
      <xdr:col>9</xdr:col>
      <xdr:colOff>237035</xdr:colOff>
      <xdr:row>5</xdr:row>
      <xdr:rowOff>99853</xdr:rowOff>
    </xdr:to>
    <xdr:sp macro="" textlink="">
      <xdr:nvSpPr>
        <xdr:cNvPr id="54" name="TextBox 53">
          <a:extLst>
            <a:ext uri="{FF2B5EF4-FFF2-40B4-BE49-F238E27FC236}">
              <a16:creationId xmlns:a16="http://schemas.microsoft.com/office/drawing/2014/main" id="{22E3CE75-7B48-4028-88C6-4B5AB997514C}"/>
            </a:ext>
          </a:extLst>
        </xdr:cNvPr>
        <xdr:cNvSpPr txBox="1"/>
      </xdr:nvSpPr>
      <xdr:spPr>
        <a:xfrm>
          <a:off x="4221482" y="715874"/>
          <a:ext cx="1505806" cy="347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ln>
                <a:noFill/>
              </a:ln>
              <a:solidFill>
                <a:schemeClr val="bg1">
                  <a:lumMod val="75000"/>
                </a:schemeClr>
              </a:solidFill>
              <a:latin typeface="+mn-lt"/>
              <a:ea typeface="+mn-ea"/>
              <a:cs typeface="Arial" panose="020B0604020202020204" pitchFamily="34" charset="0"/>
            </a:rPr>
            <a:t>Quantity</a:t>
          </a:r>
          <a:r>
            <a:rPr lang="en-US" sz="1600" baseline="0">
              <a:ln>
                <a:noFill/>
              </a:ln>
              <a:solidFill>
                <a:schemeClr val="bg1">
                  <a:lumMod val="75000"/>
                </a:schemeClr>
              </a:solidFill>
              <a:latin typeface="+mn-lt"/>
              <a:ea typeface="+mn-ea"/>
              <a:cs typeface="Arial" panose="020B0604020202020204" pitchFamily="34" charset="0"/>
            </a:rPr>
            <a:t> Sold</a:t>
          </a:r>
          <a:endParaRPr lang="en-US" sz="1600">
            <a:ln>
              <a:noFill/>
            </a:ln>
            <a:solidFill>
              <a:schemeClr val="bg1">
                <a:lumMod val="75000"/>
              </a:schemeClr>
            </a:solidFill>
            <a:latin typeface="+mn-lt"/>
            <a:ea typeface="+mn-ea"/>
            <a:cs typeface="Arial" panose="020B0604020202020204" pitchFamily="34" charset="0"/>
          </a:endParaRPr>
        </a:p>
      </xdr:txBody>
    </xdr:sp>
    <xdr:clientData/>
  </xdr:twoCellAnchor>
  <xdr:twoCellAnchor>
    <xdr:from>
      <xdr:col>6</xdr:col>
      <xdr:colOff>586162</xdr:colOff>
      <xdr:row>5</xdr:row>
      <xdr:rowOff>79785</xdr:rowOff>
    </xdr:from>
    <xdr:to>
      <xdr:col>9</xdr:col>
      <xdr:colOff>138059</xdr:colOff>
      <xdr:row>7</xdr:row>
      <xdr:rowOff>108360</xdr:rowOff>
    </xdr:to>
    <xdr:sp macro="" textlink="'Pivot tables'!B5">
      <xdr:nvSpPr>
        <xdr:cNvPr id="60" name="TextBox 59">
          <a:extLst>
            <a:ext uri="{FF2B5EF4-FFF2-40B4-BE49-F238E27FC236}">
              <a16:creationId xmlns:a16="http://schemas.microsoft.com/office/drawing/2014/main" id="{0B3684F7-447F-BA00-52BE-303E10BD7463}"/>
            </a:ext>
          </a:extLst>
        </xdr:cNvPr>
        <xdr:cNvSpPr txBox="1"/>
      </xdr:nvSpPr>
      <xdr:spPr>
        <a:xfrm>
          <a:off x="4246331" y="1042987"/>
          <a:ext cx="1381981" cy="413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B212DA-FAF1-49EB-89CD-F29614EB634D}" type="TxLink">
            <a:rPr lang="en-US" sz="2000" b="0" i="0" u="none" strike="noStrike">
              <a:ln>
                <a:noFill/>
              </a:ln>
              <a:solidFill>
                <a:schemeClr val="bg1"/>
              </a:solidFill>
              <a:latin typeface="Calibri"/>
              <a:ea typeface="Calibri"/>
              <a:cs typeface="Calibri"/>
            </a:rPr>
            <a:pPr marL="0" indent="0"/>
            <a:t>₦10K</a:t>
          </a:fld>
          <a:endParaRPr lang="en-US" sz="2000">
            <a:ln>
              <a:noFill/>
            </a:ln>
            <a:solidFill>
              <a:schemeClr val="bg1"/>
            </a:solidFill>
            <a:latin typeface="+mn-lt"/>
            <a:ea typeface="+mn-ea"/>
            <a:cs typeface="Arial" panose="020B0604020202020204" pitchFamily="34" charset="0"/>
          </a:endParaRPr>
        </a:p>
      </xdr:txBody>
    </xdr:sp>
    <xdr:clientData/>
  </xdr:twoCellAnchor>
  <xdr:twoCellAnchor>
    <xdr:from>
      <xdr:col>6</xdr:col>
      <xdr:colOff>211046</xdr:colOff>
      <xdr:row>4</xdr:row>
      <xdr:rowOff>149833</xdr:rowOff>
    </xdr:from>
    <xdr:to>
      <xdr:col>6</xdr:col>
      <xdr:colOff>529151</xdr:colOff>
      <xdr:row>6</xdr:row>
      <xdr:rowOff>681</xdr:rowOff>
    </xdr:to>
    <xdr:pic>
      <xdr:nvPicPr>
        <xdr:cNvPr id="33" name="Picture 32">
          <a:extLst>
            <a:ext uri="{FF2B5EF4-FFF2-40B4-BE49-F238E27FC236}">
              <a16:creationId xmlns:a16="http://schemas.microsoft.com/office/drawing/2014/main" id="{A93FF248-086F-ED84-5048-237973D47494}"/>
            </a:ext>
          </a:extLst>
        </xdr:cNvPr>
        <xdr:cNvPicPr>
          <a:picLocks noChangeAspect="1"/>
        </xdr:cNvPicPr>
      </xdr:nvPicPr>
      <xdr:blipFill>
        <a:blip xmlns:r="http://schemas.openxmlformats.org/officeDocument/2006/relationships" r:embed="rId14"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3871215" y="920395"/>
          <a:ext cx="318105" cy="236129"/>
        </a:xfrm>
        <a:prstGeom prst="rect">
          <a:avLst/>
        </a:prstGeom>
      </xdr:spPr>
    </xdr:pic>
    <xdr:clientData/>
  </xdr:twoCellAnchor>
  <xdr:twoCellAnchor>
    <xdr:from>
      <xdr:col>1</xdr:col>
      <xdr:colOff>361950</xdr:colOff>
      <xdr:row>25</xdr:row>
      <xdr:rowOff>180975</xdr:rowOff>
    </xdr:from>
    <xdr:to>
      <xdr:col>7</xdr:col>
      <xdr:colOff>57149</xdr:colOff>
      <xdr:row>43</xdr:row>
      <xdr:rowOff>178595</xdr:rowOff>
    </xdr:to>
    <xdr:sp macro="" textlink="">
      <xdr:nvSpPr>
        <xdr:cNvPr id="30" name="Rectangle: Rounded Corners 29">
          <a:extLst>
            <a:ext uri="{FF2B5EF4-FFF2-40B4-BE49-F238E27FC236}">
              <a16:creationId xmlns:a16="http://schemas.microsoft.com/office/drawing/2014/main" id="{53FBECA5-1507-4DAA-9B56-B5AA16C329DA}"/>
            </a:ext>
          </a:extLst>
        </xdr:cNvPr>
        <xdr:cNvSpPr/>
      </xdr:nvSpPr>
      <xdr:spPr>
        <a:xfrm>
          <a:off x="969169" y="4943475"/>
          <a:ext cx="3338511" cy="3426620"/>
        </a:xfrm>
        <a:prstGeom prst="roundRect">
          <a:avLst>
            <a:gd name="adj" fmla="val 3450"/>
          </a:avLst>
        </a:prstGeom>
        <a:gradFill flip="none" rotWithShape="1">
          <a:gsLst>
            <a:gs pos="0">
              <a:srgbClr val="00112E"/>
            </a:gs>
            <a:gs pos="74000">
              <a:srgbClr val="0070C0"/>
            </a:gs>
            <a:gs pos="100000">
              <a:srgbClr val="800043">
                <a:alpha val="40000"/>
              </a:srgbClr>
            </a:gs>
            <a:gs pos="100000">
              <a:schemeClr val="accent1">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344608</xdr:colOff>
      <xdr:row>28</xdr:row>
      <xdr:rowOff>33021</xdr:rowOff>
    </xdr:from>
    <xdr:to>
      <xdr:col>7</xdr:col>
      <xdr:colOff>23416</xdr:colOff>
      <xdr:row>34</xdr:row>
      <xdr:rowOff>139281</xdr:rowOff>
    </xdr:to>
    <xdr:sp macro="" textlink="'Pivot tables'!T26">
      <xdr:nvSpPr>
        <xdr:cNvPr id="38" name="TextBox 37">
          <a:extLst>
            <a:ext uri="{FF2B5EF4-FFF2-40B4-BE49-F238E27FC236}">
              <a16:creationId xmlns:a16="http://schemas.microsoft.com/office/drawing/2014/main" id="{174DF62A-1A72-4853-BA16-6C75B1A9091F}"/>
            </a:ext>
          </a:extLst>
        </xdr:cNvPr>
        <xdr:cNvSpPr txBox="1"/>
      </xdr:nvSpPr>
      <xdr:spPr>
        <a:xfrm>
          <a:off x="956213" y="5367021"/>
          <a:ext cx="3348440" cy="124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714BEAF-4B74-4000-B55F-30343992E0B3}" type="TxLink">
            <a:rPr lang="en-US" sz="1200" b="0" i="0" u="none" strike="noStrike">
              <a:ln>
                <a:noFill/>
              </a:ln>
              <a:solidFill>
                <a:schemeClr val="bg1"/>
              </a:solidFill>
              <a:latin typeface="Calibri"/>
              <a:ea typeface="Calibri"/>
              <a:cs typeface="Calibri"/>
            </a:rPr>
            <a:pPr marL="0" indent="0" algn="ctr"/>
            <a:t>Insight 1 : Kano leads regional sales performance, accounting for 29.7% of total revenue generated. In contrast, Lagos records the lowest contribution and may benefit from focused marketing efforts, promotions, and customer acquisition strategies.</a:t>
          </a:fld>
          <a:endParaRPr lang="en-US" sz="1200" i="1">
            <a:ln>
              <a:noFill/>
            </a:ln>
            <a:solidFill>
              <a:schemeClr val="bg1"/>
            </a:solidFill>
            <a:latin typeface="+mn-lt"/>
            <a:ea typeface="+mn-ea"/>
            <a:cs typeface="Arial" panose="020B0604020202020204" pitchFamily="34" charset="0"/>
          </a:endParaRPr>
        </a:p>
      </xdr:txBody>
    </xdr:sp>
    <xdr:clientData/>
  </xdr:twoCellAnchor>
  <xdr:twoCellAnchor>
    <xdr:from>
      <xdr:col>1</xdr:col>
      <xdr:colOff>350921</xdr:colOff>
      <xdr:row>35</xdr:row>
      <xdr:rowOff>32025</xdr:rowOff>
    </xdr:from>
    <xdr:to>
      <xdr:col>6</xdr:col>
      <xdr:colOff>601578</xdr:colOff>
      <xdr:row>38</xdr:row>
      <xdr:rowOff>150392</xdr:rowOff>
    </xdr:to>
    <xdr:sp macro="" textlink="'Pivot tables'!T27">
      <xdr:nvSpPr>
        <xdr:cNvPr id="40" name="TextBox 39">
          <a:extLst>
            <a:ext uri="{FF2B5EF4-FFF2-40B4-BE49-F238E27FC236}">
              <a16:creationId xmlns:a16="http://schemas.microsoft.com/office/drawing/2014/main" id="{8B6675A7-12EA-4041-81EF-18CD50502856}"/>
            </a:ext>
          </a:extLst>
        </xdr:cNvPr>
        <xdr:cNvSpPr txBox="1"/>
      </xdr:nvSpPr>
      <xdr:spPr>
        <a:xfrm>
          <a:off x="962526" y="6699525"/>
          <a:ext cx="3308684" cy="689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4F36762-DBA3-4BC8-96D8-5CF5A8FC204A}" type="TxLink">
            <a:rPr lang="en-US" sz="1200" b="0" i="0" u="none" strike="noStrike">
              <a:ln>
                <a:noFill/>
              </a:ln>
              <a:solidFill>
                <a:schemeClr val="bg1"/>
              </a:solidFill>
              <a:latin typeface="Calibri"/>
              <a:ea typeface="Calibri"/>
              <a:cs typeface="Calibri"/>
            </a:rPr>
            <a:pPr marL="0" indent="0" algn="ctr"/>
            <a:t>Insight 2 : Pair Aishat as the Top sales rep with Grace for mentoring sessions, and probably consider commission restructuring as incentive.</a:t>
          </a:fld>
          <a:endParaRPr lang="en-US" sz="1200" b="0" i="0" u="none" strike="noStrike">
            <a:ln>
              <a:noFill/>
            </a:ln>
            <a:solidFill>
              <a:schemeClr val="bg1"/>
            </a:solidFill>
            <a:latin typeface="Calibri"/>
            <a:ea typeface="Calibri"/>
            <a:cs typeface="Calibri"/>
          </a:endParaRPr>
        </a:p>
      </xdr:txBody>
    </xdr:sp>
    <xdr:clientData/>
  </xdr:twoCellAnchor>
  <xdr:twoCellAnchor>
    <xdr:from>
      <xdr:col>1</xdr:col>
      <xdr:colOff>299854</xdr:colOff>
      <xdr:row>39</xdr:row>
      <xdr:rowOff>127481</xdr:rowOff>
    </xdr:from>
    <xdr:to>
      <xdr:col>7</xdr:col>
      <xdr:colOff>83160</xdr:colOff>
      <xdr:row>43</xdr:row>
      <xdr:rowOff>140367</xdr:rowOff>
    </xdr:to>
    <xdr:sp macro="" textlink="'Pivot tables'!T28">
      <xdr:nvSpPr>
        <xdr:cNvPr id="43" name="TextBox 42">
          <a:extLst>
            <a:ext uri="{FF2B5EF4-FFF2-40B4-BE49-F238E27FC236}">
              <a16:creationId xmlns:a16="http://schemas.microsoft.com/office/drawing/2014/main" id="{B6FB2596-6AE0-4D2B-AED4-86BACA006426}"/>
            </a:ext>
          </a:extLst>
        </xdr:cNvPr>
        <xdr:cNvSpPr txBox="1"/>
      </xdr:nvSpPr>
      <xdr:spPr>
        <a:xfrm>
          <a:off x="911459" y="7556981"/>
          <a:ext cx="3452938" cy="774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DDB0DD9-467E-4658-9FC5-FAD55F1C048C}" type="TxLink">
            <a:rPr lang="en-US" sz="1200" b="0" i="0" u="none" strike="noStrike">
              <a:ln>
                <a:noFill/>
              </a:ln>
              <a:solidFill>
                <a:schemeClr val="bg1"/>
              </a:solidFill>
              <a:latin typeface="Calibri"/>
              <a:ea typeface="Calibri"/>
              <a:cs typeface="Calibri"/>
            </a:rPr>
            <a:pPr marL="0" indent="0" algn="ctr"/>
            <a:t>Insight 3: The business is overly dependent on Rice (10kg). While it is the cash cow, a supply disruption or price shift could cut nearly half of revenue.</a:t>
          </a:fld>
          <a:endParaRPr lang="en-US" sz="1200" b="0" i="0" u="none" strike="noStrike">
            <a:ln>
              <a:noFill/>
            </a:ln>
            <a:solidFill>
              <a:schemeClr val="bg1"/>
            </a:solidFill>
            <a:latin typeface="Calibri"/>
            <a:ea typeface="Calibri"/>
            <a:cs typeface="Calibri"/>
          </a:endParaRPr>
        </a:p>
      </xdr:txBody>
    </xdr:sp>
    <xdr:clientData/>
  </xdr:twoCellAnchor>
  <xdr:twoCellAnchor>
    <xdr:from>
      <xdr:col>1</xdr:col>
      <xdr:colOff>434046</xdr:colOff>
      <xdr:row>34</xdr:row>
      <xdr:rowOff>93134</xdr:rowOff>
    </xdr:from>
    <xdr:to>
      <xdr:col>6</xdr:col>
      <xdr:colOff>522650</xdr:colOff>
      <xdr:row>34</xdr:row>
      <xdr:rowOff>104210</xdr:rowOff>
    </xdr:to>
    <xdr:cxnSp macro="">
      <xdr:nvCxnSpPr>
        <xdr:cNvPr id="64" name="Straight Connector 63">
          <a:extLst>
            <a:ext uri="{FF2B5EF4-FFF2-40B4-BE49-F238E27FC236}">
              <a16:creationId xmlns:a16="http://schemas.microsoft.com/office/drawing/2014/main" id="{19C51875-C0AD-B449-6BD6-8A2FC03DEA6E}"/>
            </a:ext>
          </a:extLst>
        </xdr:cNvPr>
        <xdr:cNvCxnSpPr/>
      </xdr:nvCxnSpPr>
      <xdr:spPr>
        <a:xfrm>
          <a:off x="1045651" y="6570134"/>
          <a:ext cx="3146631" cy="11076"/>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377115</xdr:colOff>
      <xdr:row>26</xdr:row>
      <xdr:rowOff>46122</xdr:rowOff>
    </xdr:from>
    <xdr:to>
      <xdr:col>7</xdr:col>
      <xdr:colOff>302059</xdr:colOff>
      <xdr:row>28</xdr:row>
      <xdr:rowOff>20579</xdr:rowOff>
    </xdr:to>
    <xdr:sp macro="" textlink="">
      <xdr:nvSpPr>
        <xdr:cNvPr id="65" name="TextBox 64">
          <a:extLst>
            <a:ext uri="{FF2B5EF4-FFF2-40B4-BE49-F238E27FC236}">
              <a16:creationId xmlns:a16="http://schemas.microsoft.com/office/drawing/2014/main" id="{64C9CF30-48FE-4FD7-AEB3-F85120E482B2}"/>
            </a:ext>
          </a:extLst>
        </xdr:cNvPr>
        <xdr:cNvSpPr txBox="1"/>
      </xdr:nvSpPr>
      <xdr:spPr>
        <a:xfrm>
          <a:off x="988720" y="4999122"/>
          <a:ext cx="3594576" cy="355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600" i="1">
              <a:ln>
                <a:noFill/>
              </a:ln>
              <a:solidFill>
                <a:schemeClr val="bg1">
                  <a:lumMod val="75000"/>
                </a:schemeClr>
              </a:solidFill>
              <a:latin typeface="+mn-lt"/>
              <a:ea typeface="+mn-ea"/>
              <a:cs typeface="Arial" panose="020B0604020202020204" pitchFamily="34" charset="0"/>
            </a:rPr>
            <a:t>Recommendations</a:t>
          </a:r>
        </a:p>
      </xdr:txBody>
    </xdr:sp>
    <xdr:clientData/>
  </xdr:twoCellAnchor>
  <xdr:twoCellAnchor>
    <xdr:from>
      <xdr:col>1</xdr:col>
      <xdr:colOff>466130</xdr:colOff>
      <xdr:row>39</xdr:row>
      <xdr:rowOff>24955</xdr:rowOff>
    </xdr:from>
    <xdr:to>
      <xdr:col>6</xdr:col>
      <xdr:colOff>554734</xdr:colOff>
      <xdr:row>39</xdr:row>
      <xdr:rowOff>36031</xdr:rowOff>
    </xdr:to>
    <xdr:cxnSp macro="">
      <xdr:nvCxnSpPr>
        <xdr:cNvPr id="67" name="Straight Connector 66">
          <a:extLst>
            <a:ext uri="{FF2B5EF4-FFF2-40B4-BE49-F238E27FC236}">
              <a16:creationId xmlns:a16="http://schemas.microsoft.com/office/drawing/2014/main" id="{9062845B-A647-41C7-A31C-B6DFD551720A}"/>
            </a:ext>
          </a:extLst>
        </xdr:cNvPr>
        <xdr:cNvCxnSpPr/>
      </xdr:nvCxnSpPr>
      <xdr:spPr>
        <a:xfrm>
          <a:off x="1077735" y="7454455"/>
          <a:ext cx="3146631" cy="11076"/>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275259</xdr:colOff>
      <xdr:row>3</xdr:row>
      <xdr:rowOff>11986</xdr:rowOff>
    </xdr:from>
    <xdr:to>
      <xdr:col>21</xdr:col>
      <xdr:colOff>561374</xdr:colOff>
      <xdr:row>8</xdr:row>
      <xdr:rowOff>169574</xdr:rowOff>
    </xdr:to>
    <xdr:sp macro="" textlink="">
      <xdr:nvSpPr>
        <xdr:cNvPr id="12" name="Rectangle: Rounded Corners 11">
          <a:extLst>
            <a:ext uri="{FF2B5EF4-FFF2-40B4-BE49-F238E27FC236}">
              <a16:creationId xmlns:a16="http://schemas.microsoft.com/office/drawing/2014/main" id="{C0CD7135-C179-494E-BDDE-7D81797BA095}"/>
            </a:ext>
          </a:extLst>
        </xdr:cNvPr>
        <xdr:cNvSpPr/>
      </xdr:nvSpPr>
      <xdr:spPr>
        <a:xfrm>
          <a:off x="11255765" y="589907"/>
          <a:ext cx="2116199" cy="1120791"/>
        </a:xfrm>
        <a:prstGeom prst="roundRect">
          <a:avLst>
            <a:gd name="adj" fmla="val 8975"/>
          </a:avLst>
        </a:prstGeom>
        <a:gradFill flip="none" rotWithShape="1">
          <a:gsLst>
            <a:gs pos="66000">
              <a:srgbClr val="00112E"/>
            </a:gs>
            <a:gs pos="98000">
              <a:srgbClr val="007F63"/>
            </a:gs>
            <a:gs pos="100000">
              <a:srgbClr val="800043"/>
            </a:gs>
            <a:gs pos="100000">
              <a:srgbClr val="800043"/>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316609</xdr:colOff>
      <xdr:row>3</xdr:row>
      <xdr:rowOff>137953</xdr:rowOff>
    </xdr:from>
    <xdr:to>
      <xdr:col>22</xdr:col>
      <xdr:colOff>84181</xdr:colOff>
      <xdr:row>5</xdr:row>
      <xdr:rowOff>109924</xdr:rowOff>
    </xdr:to>
    <xdr:sp macro="" textlink="">
      <xdr:nvSpPr>
        <xdr:cNvPr id="53" name="TextBox 52">
          <a:extLst>
            <a:ext uri="{FF2B5EF4-FFF2-40B4-BE49-F238E27FC236}">
              <a16:creationId xmlns:a16="http://schemas.microsoft.com/office/drawing/2014/main" id="{E2508AC4-4F4C-4D71-9CBD-4E014BCB5E8A}"/>
            </a:ext>
          </a:extLst>
        </xdr:cNvPr>
        <xdr:cNvSpPr txBox="1"/>
      </xdr:nvSpPr>
      <xdr:spPr>
        <a:xfrm>
          <a:off x="11907143" y="715874"/>
          <a:ext cx="1597656" cy="357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ln>
                <a:noFill/>
              </a:ln>
              <a:solidFill>
                <a:schemeClr val="bg1">
                  <a:lumMod val="75000"/>
                </a:schemeClr>
              </a:solidFill>
              <a:latin typeface="+mn-lt"/>
              <a:ea typeface="+mn-ea"/>
              <a:cs typeface="Arial" panose="020B0604020202020204" pitchFamily="34" charset="0"/>
            </a:rPr>
            <a:t>#</a:t>
          </a:r>
          <a:r>
            <a:rPr lang="en-US" sz="1600" baseline="0">
              <a:ln>
                <a:noFill/>
              </a:ln>
              <a:solidFill>
                <a:schemeClr val="bg1">
                  <a:lumMod val="75000"/>
                </a:schemeClr>
              </a:solidFill>
              <a:latin typeface="+mn-lt"/>
              <a:ea typeface="+mn-ea"/>
              <a:cs typeface="Arial" panose="020B0604020202020204" pitchFamily="34" charset="0"/>
            </a:rPr>
            <a:t> Product</a:t>
          </a:r>
          <a:endParaRPr lang="en-US" sz="1600">
            <a:ln>
              <a:noFill/>
            </a:ln>
            <a:solidFill>
              <a:schemeClr val="bg1">
                <a:lumMod val="75000"/>
              </a:schemeClr>
            </a:solidFill>
            <a:latin typeface="+mn-lt"/>
            <a:ea typeface="+mn-ea"/>
            <a:cs typeface="Arial" panose="020B0604020202020204" pitchFamily="34" charset="0"/>
          </a:endParaRPr>
        </a:p>
      </xdr:txBody>
    </xdr:sp>
    <xdr:clientData/>
  </xdr:twoCellAnchor>
  <xdr:twoCellAnchor>
    <xdr:from>
      <xdr:col>19</xdr:col>
      <xdr:colOff>351648</xdr:colOff>
      <xdr:row>5</xdr:row>
      <xdr:rowOff>107017</xdr:rowOff>
    </xdr:from>
    <xdr:to>
      <xdr:col>20</xdr:col>
      <xdr:colOff>414496</xdr:colOff>
      <xdr:row>7</xdr:row>
      <xdr:rowOff>81129</xdr:rowOff>
    </xdr:to>
    <xdr:sp macro="" textlink="'Pivot tables'!H6">
      <xdr:nvSpPr>
        <xdr:cNvPr id="59" name="TextBox 58">
          <a:extLst>
            <a:ext uri="{FF2B5EF4-FFF2-40B4-BE49-F238E27FC236}">
              <a16:creationId xmlns:a16="http://schemas.microsoft.com/office/drawing/2014/main" id="{2AA7650E-ECF5-B020-BE1B-D913F8BC2AC3}"/>
            </a:ext>
          </a:extLst>
        </xdr:cNvPr>
        <xdr:cNvSpPr txBox="1"/>
      </xdr:nvSpPr>
      <xdr:spPr>
        <a:xfrm>
          <a:off x="11942182" y="1070219"/>
          <a:ext cx="672876" cy="359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0AA7AF-D8EB-4DDF-89F6-7B1B9ADF09E1}" type="TxLink">
            <a:rPr lang="en-US" sz="2000" b="0" i="0" u="none" strike="noStrike">
              <a:ln>
                <a:noFill/>
              </a:ln>
              <a:solidFill>
                <a:schemeClr val="bg1"/>
              </a:solidFill>
              <a:latin typeface="Calibri"/>
              <a:ea typeface="Calibri"/>
              <a:cs typeface="Calibri"/>
            </a:rPr>
            <a:pPr marL="0" indent="0"/>
            <a:t>10</a:t>
          </a:fld>
          <a:endParaRPr lang="en-US" sz="2000" b="0" i="0" u="none" strike="noStrike">
            <a:ln>
              <a:noFill/>
            </a:ln>
            <a:solidFill>
              <a:schemeClr val="bg1"/>
            </a:solidFill>
            <a:latin typeface="Calibri"/>
            <a:ea typeface="Calibri"/>
            <a:cs typeface="Calibri"/>
          </a:endParaRPr>
        </a:p>
      </xdr:txBody>
    </xdr:sp>
    <xdr:clientData/>
  </xdr:twoCellAnchor>
  <xdr:twoCellAnchor>
    <xdr:from>
      <xdr:col>18</xdr:col>
      <xdr:colOff>508996</xdr:colOff>
      <xdr:row>4</xdr:row>
      <xdr:rowOff>57257</xdr:rowOff>
    </xdr:from>
    <xdr:to>
      <xdr:col>19</xdr:col>
      <xdr:colOff>346643</xdr:colOff>
      <xdr:row>6</xdr:row>
      <xdr:rowOff>126072</xdr:rowOff>
    </xdr:to>
    <xdr:sp macro="" textlink="">
      <xdr:nvSpPr>
        <xdr:cNvPr id="14" name="Oval 13">
          <a:extLst>
            <a:ext uri="{FF2B5EF4-FFF2-40B4-BE49-F238E27FC236}">
              <a16:creationId xmlns:a16="http://schemas.microsoft.com/office/drawing/2014/main" id="{8056CD29-BCA4-488C-8553-E8BF0FB35121}"/>
            </a:ext>
          </a:extLst>
        </xdr:cNvPr>
        <xdr:cNvSpPr/>
      </xdr:nvSpPr>
      <xdr:spPr>
        <a:xfrm>
          <a:off x="11489502" y="827819"/>
          <a:ext cx="447675" cy="454096"/>
        </a:xfrm>
        <a:prstGeom prst="ellipse">
          <a:avLst/>
        </a:prstGeom>
        <a:solidFill>
          <a:schemeClr val="accent6">
            <a:lumMod val="5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596788</xdr:colOff>
      <xdr:row>4</xdr:row>
      <xdr:rowOff>142671</xdr:rowOff>
    </xdr:from>
    <xdr:to>
      <xdr:col>19</xdr:col>
      <xdr:colOff>290591</xdr:colOff>
      <xdr:row>6</xdr:row>
      <xdr:rowOff>56163</xdr:rowOff>
    </xdr:to>
    <xdr:pic>
      <xdr:nvPicPr>
        <xdr:cNvPr id="37" name="Picture 36">
          <a:extLst>
            <a:ext uri="{FF2B5EF4-FFF2-40B4-BE49-F238E27FC236}">
              <a16:creationId xmlns:a16="http://schemas.microsoft.com/office/drawing/2014/main" id="{BD511FFA-C7AE-C28A-2C70-DA6BE8FD1205}"/>
            </a:ext>
          </a:extLst>
        </xdr:cNvPr>
        <xdr:cNvPicPr>
          <a:picLocks noChangeAspect="1"/>
        </xdr:cNvPicPr>
      </xdr:nvPicPr>
      <xdr:blipFill>
        <a:blip xmlns:r="http://schemas.openxmlformats.org/officeDocument/2006/relationships" r:embed="rId15"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1577294" y="913233"/>
          <a:ext cx="303831" cy="2987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2.319021527779" createdVersion="8" refreshedVersion="8" minRefreshableVersion="3" recordCount="1000" xr:uid="{9C4BC3AF-999A-4E68-AC1F-7C96A4F89879}">
  <cacheSource type="worksheet">
    <worksheetSource name="Sales_Report"/>
  </cacheSource>
  <cacheFields count="12">
    <cacheField name="Date" numFmtId="14">
      <sharedItems containsSemiMixedTypes="0" containsNonDate="0" containsDate="1" containsString="0" minDate="2025-01-01T00:00:00" maxDate="2025-12-31T00:00:00"/>
    </cacheField>
    <cacheField name="Product" numFmtId="0">
      <sharedItems count="13">
        <s v="Milk"/>
        <s v="Tomato Paste"/>
        <s v="Juice"/>
        <s v="Cooking Oil (1L)"/>
        <s v="Turkey"/>
        <s v="Noodles Pack"/>
        <s v="Rice (10kg)"/>
        <s v="Bread"/>
        <s v="Sugar"/>
        <s v="Eggs (crate)"/>
        <s v="Soft Drink" u="1"/>
        <s v="Chicken" u="1"/>
        <s v="Rice (5kg)" u="1"/>
      </sharedItems>
    </cacheField>
    <cacheField name="Category" numFmtId="0">
      <sharedItems/>
    </cacheField>
    <cacheField name="Region" numFmtId="0">
      <sharedItems count="4">
        <s v="Port Harcourt"/>
        <s v="Abuja"/>
        <s v="Lagos"/>
        <s v="Kano"/>
      </sharedItems>
    </cacheField>
    <cacheField name="Sales Rep" numFmtId="0">
      <sharedItems count="6">
        <s v="Aishat"/>
        <s v="Ibrahim"/>
        <s v="Chioma"/>
        <s v="John"/>
        <s v="Grace"/>
        <s v="David"/>
      </sharedItems>
    </cacheField>
    <cacheField name="Quantity" numFmtId="0">
      <sharedItems containsSemiMixedTypes="0" containsString="0" containsNumber="1" containsInteger="1" minValue="1" maxValue="19"/>
    </cacheField>
    <cacheField name="Unit Price" numFmtId="0">
      <sharedItems containsSemiMixedTypes="0" containsString="0" containsNumber="1" minValue="426" maxValue="19485.13"/>
    </cacheField>
    <cacheField name="Sales Amount" numFmtId="0">
      <sharedItems containsSemiMixedTypes="0" containsString="0" containsNumber="1" minValue="426.52" maxValue="331833.96000000002"/>
    </cacheField>
    <cacheField name="Month" numFmtId="0">
      <sharedItems containsSemiMixedTypes="0" containsString="0" containsNumber="1" containsInteger="1" minValue="1" maxValue="12" count="12">
        <n v="4"/>
        <n v="10"/>
        <n v="2"/>
        <n v="11"/>
        <n v="6"/>
        <n v="12"/>
        <n v="7"/>
        <n v="9"/>
        <n v="8"/>
        <n v="1"/>
        <n v="3"/>
        <n v="5"/>
      </sharedItems>
    </cacheField>
    <cacheField name="Month name" numFmtId="0">
      <sharedItems count="12">
        <s v="Apr"/>
        <s v="Oct"/>
        <s v="Feb"/>
        <s v="Nov"/>
        <s v="Jun"/>
        <s v="Dec"/>
        <s v="Jul"/>
        <s v="Sep"/>
        <s v="Aug"/>
        <s v="Jan"/>
        <s v="Mar"/>
        <s v="May"/>
      </sharedItems>
    </cacheField>
    <cacheField name="Weekday" numFmtId="0">
      <sharedItems containsSemiMixedTypes="0" containsString="0" containsNumber="1" containsInteger="1" minValue="1" maxValue="7"/>
    </cacheField>
    <cacheField name="WeekName" numFmtId="0">
      <sharedItems count="8">
        <s v="Sat"/>
        <s v="Wed"/>
        <s v="Mon"/>
        <s v="Fri"/>
        <s v="Sun"/>
        <s v="Thu"/>
        <s v="Tue"/>
        <e v="#VALUE!" u="1"/>
      </sharedItems>
    </cacheField>
  </cacheFields>
  <extLst>
    <ext xmlns:x14="http://schemas.microsoft.com/office/spreadsheetml/2009/9/main" uri="{725AE2AE-9491-48be-B2B4-4EB974FC3084}">
      <x14:pivotCacheDefinition pivotCacheId="2118657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5-04-12T00:00:00"/>
    <x v="0"/>
    <s v="Food"/>
    <x v="0"/>
    <x v="0"/>
    <n v="8"/>
    <n v="1271.03"/>
    <n v="10168.24"/>
    <x v="0"/>
    <x v="0"/>
    <n v="7"/>
    <x v="0"/>
  </r>
  <r>
    <d v="2025-04-12T00:00:00"/>
    <x v="1"/>
    <s v="Groceries"/>
    <x v="0"/>
    <x v="0"/>
    <n v="11"/>
    <n v="1097.74"/>
    <n v="12075.14"/>
    <x v="0"/>
    <x v="0"/>
    <n v="7"/>
    <x v="0"/>
  </r>
  <r>
    <d v="2025-04-09T00:00:00"/>
    <x v="2"/>
    <s v="Groceries"/>
    <x v="1"/>
    <x v="1"/>
    <n v="2"/>
    <n v="679.92"/>
    <n v="1359.84"/>
    <x v="0"/>
    <x v="0"/>
    <n v="4"/>
    <x v="1"/>
  </r>
  <r>
    <d v="2025-10-20T00:00:00"/>
    <x v="3"/>
    <s v="Food"/>
    <x v="2"/>
    <x v="2"/>
    <n v="12"/>
    <n v="1784.59"/>
    <n v="21415.08"/>
    <x v="1"/>
    <x v="1"/>
    <n v="2"/>
    <x v="2"/>
  </r>
  <r>
    <d v="2025-02-28T00:00:00"/>
    <x v="1"/>
    <s v="Groceries"/>
    <x v="1"/>
    <x v="1"/>
    <n v="12"/>
    <n v="907.69"/>
    <n v="10892.28"/>
    <x v="2"/>
    <x v="2"/>
    <n v="6"/>
    <x v="3"/>
  </r>
  <r>
    <d v="2025-11-15T00:00:00"/>
    <x v="4"/>
    <s v="Groceries"/>
    <x v="2"/>
    <x v="0"/>
    <n v="7"/>
    <n v="4011.57"/>
    <n v="28080.99"/>
    <x v="3"/>
    <x v="3"/>
    <n v="7"/>
    <x v="0"/>
  </r>
  <r>
    <d v="2025-06-15T00:00:00"/>
    <x v="3"/>
    <s v="Food"/>
    <x v="3"/>
    <x v="0"/>
    <n v="9"/>
    <n v="1773.95"/>
    <n v="15965.55"/>
    <x v="4"/>
    <x v="4"/>
    <n v="1"/>
    <x v="4"/>
  </r>
  <r>
    <d v="2025-12-05T00:00:00"/>
    <x v="5"/>
    <s v="Food"/>
    <x v="3"/>
    <x v="1"/>
    <n v="14"/>
    <n v="1401.95"/>
    <n v="19627.3"/>
    <x v="5"/>
    <x v="5"/>
    <n v="6"/>
    <x v="3"/>
  </r>
  <r>
    <d v="2025-02-19T00:00:00"/>
    <x v="2"/>
    <s v="Beverage"/>
    <x v="1"/>
    <x v="0"/>
    <n v="4"/>
    <n v="486.55"/>
    <n v="1946.2"/>
    <x v="2"/>
    <x v="2"/>
    <n v="4"/>
    <x v="1"/>
  </r>
  <r>
    <d v="2025-07-09T00:00:00"/>
    <x v="3"/>
    <s v="Beverage"/>
    <x v="3"/>
    <x v="0"/>
    <n v="10"/>
    <n v="3092.24"/>
    <n v="30922.400000000001"/>
    <x v="6"/>
    <x v="6"/>
    <n v="4"/>
    <x v="1"/>
  </r>
  <r>
    <d v="2025-09-26T00:00:00"/>
    <x v="2"/>
    <s v="Beverage"/>
    <x v="0"/>
    <x v="2"/>
    <n v="8"/>
    <n v="724.03"/>
    <n v="5792.24"/>
    <x v="7"/>
    <x v="7"/>
    <n v="6"/>
    <x v="3"/>
  </r>
  <r>
    <d v="2025-08-24T00:00:00"/>
    <x v="3"/>
    <s v="Groceries"/>
    <x v="2"/>
    <x v="0"/>
    <n v="13"/>
    <n v="1961.39"/>
    <n v="25498.07"/>
    <x v="8"/>
    <x v="8"/>
    <n v="1"/>
    <x v="4"/>
  </r>
  <r>
    <d v="2025-01-15T00:00:00"/>
    <x v="6"/>
    <s v="Food"/>
    <x v="0"/>
    <x v="3"/>
    <n v="1"/>
    <n v="12288.44"/>
    <n v="12288.44"/>
    <x v="9"/>
    <x v="9"/>
    <n v="4"/>
    <x v="1"/>
  </r>
  <r>
    <d v="2025-03-03T00:00:00"/>
    <x v="7"/>
    <s v="Food"/>
    <x v="3"/>
    <x v="0"/>
    <n v="3"/>
    <n v="930.21"/>
    <n v="2790.63"/>
    <x v="10"/>
    <x v="10"/>
    <n v="2"/>
    <x v="2"/>
  </r>
  <r>
    <d v="2025-09-17T00:00:00"/>
    <x v="1"/>
    <s v="Groceries"/>
    <x v="1"/>
    <x v="2"/>
    <n v="7"/>
    <n v="1089.02"/>
    <n v="7623.14"/>
    <x v="7"/>
    <x v="7"/>
    <n v="4"/>
    <x v="1"/>
  </r>
  <r>
    <d v="2025-09-24T00:00:00"/>
    <x v="3"/>
    <s v="Food"/>
    <x v="3"/>
    <x v="1"/>
    <n v="3"/>
    <n v="2636.95"/>
    <n v="7910.85"/>
    <x v="7"/>
    <x v="7"/>
    <n v="4"/>
    <x v="1"/>
  </r>
  <r>
    <d v="2025-08-01T00:00:00"/>
    <x v="7"/>
    <s v="Food"/>
    <x v="0"/>
    <x v="3"/>
    <n v="15"/>
    <n v="902.36"/>
    <n v="13535.4"/>
    <x v="8"/>
    <x v="8"/>
    <n v="6"/>
    <x v="3"/>
  </r>
  <r>
    <d v="2025-09-13T00:00:00"/>
    <x v="8"/>
    <s v="Beverage"/>
    <x v="0"/>
    <x v="0"/>
    <n v="9"/>
    <n v="1126.4000000000001"/>
    <n v="10137.6"/>
    <x v="7"/>
    <x v="7"/>
    <n v="7"/>
    <x v="0"/>
  </r>
  <r>
    <d v="2025-12-11T00:00:00"/>
    <x v="1"/>
    <s v="Food"/>
    <x v="0"/>
    <x v="3"/>
    <n v="4"/>
    <n v="1120.0899999999999"/>
    <n v="4480.3599999999997"/>
    <x v="5"/>
    <x v="5"/>
    <n v="5"/>
    <x v="5"/>
  </r>
  <r>
    <d v="2025-08-18T00:00:00"/>
    <x v="0"/>
    <s v="Food"/>
    <x v="3"/>
    <x v="0"/>
    <n v="19"/>
    <n v="956.08"/>
    <n v="18165.52"/>
    <x v="8"/>
    <x v="8"/>
    <n v="2"/>
    <x v="2"/>
  </r>
  <r>
    <d v="2025-03-06T00:00:00"/>
    <x v="1"/>
    <s v="Food"/>
    <x v="1"/>
    <x v="2"/>
    <n v="6"/>
    <n v="876.53"/>
    <n v="5259.18"/>
    <x v="10"/>
    <x v="10"/>
    <n v="5"/>
    <x v="5"/>
  </r>
  <r>
    <d v="2025-04-17T00:00:00"/>
    <x v="0"/>
    <s v="Beverage"/>
    <x v="1"/>
    <x v="0"/>
    <n v="7"/>
    <n v="1492.92"/>
    <n v="10450.44"/>
    <x v="0"/>
    <x v="0"/>
    <n v="5"/>
    <x v="5"/>
  </r>
  <r>
    <d v="2025-10-09T00:00:00"/>
    <x v="4"/>
    <s v="Food"/>
    <x v="2"/>
    <x v="0"/>
    <n v="7"/>
    <n v="3993.97"/>
    <n v="27957.79"/>
    <x v="1"/>
    <x v="1"/>
    <n v="5"/>
    <x v="5"/>
  </r>
  <r>
    <d v="2025-05-16T00:00:00"/>
    <x v="8"/>
    <s v="Food"/>
    <x v="0"/>
    <x v="0"/>
    <n v="12"/>
    <n v="846.48"/>
    <n v="10157.76"/>
    <x v="11"/>
    <x v="11"/>
    <n v="6"/>
    <x v="3"/>
  </r>
  <r>
    <d v="2025-11-14T00:00:00"/>
    <x v="9"/>
    <s v="Food"/>
    <x v="3"/>
    <x v="1"/>
    <n v="17"/>
    <n v="2983.22"/>
    <n v="50714.74"/>
    <x v="3"/>
    <x v="3"/>
    <n v="6"/>
    <x v="3"/>
  </r>
  <r>
    <d v="2025-09-24T00:00:00"/>
    <x v="5"/>
    <s v="Beverage"/>
    <x v="0"/>
    <x v="3"/>
    <n v="5"/>
    <n v="1306.3599999999999"/>
    <n v="6531.8"/>
    <x v="7"/>
    <x v="7"/>
    <n v="4"/>
    <x v="1"/>
  </r>
  <r>
    <d v="2025-03-21T00:00:00"/>
    <x v="6"/>
    <s v="Beverage"/>
    <x v="1"/>
    <x v="2"/>
    <n v="5"/>
    <n v="13605.64"/>
    <n v="68028.2"/>
    <x v="10"/>
    <x v="10"/>
    <n v="6"/>
    <x v="3"/>
  </r>
  <r>
    <d v="2025-05-05T00:00:00"/>
    <x v="3"/>
    <s v="Food"/>
    <x v="3"/>
    <x v="0"/>
    <n v="6"/>
    <n v="2113.08"/>
    <n v="12678.48"/>
    <x v="11"/>
    <x v="11"/>
    <n v="2"/>
    <x v="2"/>
  </r>
  <r>
    <d v="2025-11-19T00:00:00"/>
    <x v="5"/>
    <s v="Groceries"/>
    <x v="3"/>
    <x v="0"/>
    <n v="17"/>
    <n v="1705.39"/>
    <n v="28991.63"/>
    <x v="3"/>
    <x v="3"/>
    <n v="4"/>
    <x v="1"/>
  </r>
  <r>
    <d v="2025-10-06T00:00:00"/>
    <x v="8"/>
    <s v="Beverage"/>
    <x v="1"/>
    <x v="0"/>
    <n v="16"/>
    <n v="1179.01"/>
    <n v="18864.16"/>
    <x v="1"/>
    <x v="1"/>
    <n v="2"/>
    <x v="2"/>
  </r>
  <r>
    <d v="2025-07-19T00:00:00"/>
    <x v="9"/>
    <s v="Food"/>
    <x v="0"/>
    <x v="2"/>
    <n v="4"/>
    <n v="2484.83"/>
    <n v="9939.32"/>
    <x v="6"/>
    <x v="6"/>
    <n v="7"/>
    <x v="0"/>
  </r>
  <r>
    <d v="2025-05-26T00:00:00"/>
    <x v="0"/>
    <s v="Groceries"/>
    <x v="3"/>
    <x v="1"/>
    <n v="1"/>
    <n v="1126.25"/>
    <n v="1126.25"/>
    <x v="11"/>
    <x v="11"/>
    <n v="2"/>
    <x v="2"/>
  </r>
  <r>
    <d v="2025-02-08T00:00:00"/>
    <x v="3"/>
    <s v="Food"/>
    <x v="0"/>
    <x v="2"/>
    <n v="18"/>
    <n v="3137.04"/>
    <n v="56466.720000000001"/>
    <x v="2"/>
    <x v="2"/>
    <n v="7"/>
    <x v="0"/>
  </r>
  <r>
    <d v="2025-10-24T00:00:00"/>
    <x v="7"/>
    <s v="Groceries"/>
    <x v="3"/>
    <x v="0"/>
    <n v="16"/>
    <n v="826.5"/>
    <n v="13224"/>
    <x v="1"/>
    <x v="1"/>
    <n v="6"/>
    <x v="3"/>
  </r>
  <r>
    <d v="2025-02-28T00:00:00"/>
    <x v="6"/>
    <s v="Beverage"/>
    <x v="2"/>
    <x v="2"/>
    <n v="5"/>
    <n v="18603.759999999998"/>
    <n v="93018.8"/>
    <x v="2"/>
    <x v="2"/>
    <n v="6"/>
    <x v="3"/>
  </r>
  <r>
    <d v="2025-01-09T00:00:00"/>
    <x v="4"/>
    <s v="Groceries"/>
    <x v="0"/>
    <x v="0"/>
    <n v="1"/>
    <n v="5426.09"/>
    <n v="5426.09"/>
    <x v="9"/>
    <x v="9"/>
    <n v="5"/>
    <x v="5"/>
  </r>
  <r>
    <d v="2025-03-15T00:00:00"/>
    <x v="6"/>
    <s v="Beverage"/>
    <x v="3"/>
    <x v="4"/>
    <n v="3"/>
    <n v="13850.54"/>
    <n v="41551.620000000003"/>
    <x v="10"/>
    <x v="10"/>
    <n v="7"/>
    <x v="0"/>
  </r>
  <r>
    <d v="2025-04-08T00:00:00"/>
    <x v="4"/>
    <s v="Food"/>
    <x v="1"/>
    <x v="0"/>
    <n v="2"/>
    <n v="5575.69"/>
    <n v="11151.38"/>
    <x v="0"/>
    <x v="0"/>
    <n v="3"/>
    <x v="6"/>
  </r>
  <r>
    <d v="2025-07-26T00:00:00"/>
    <x v="4"/>
    <s v="Food"/>
    <x v="3"/>
    <x v="1"/>
    <n v="14"/>
    <n v="4476.2"/>
    <n v="62666.8"/>
    <x v="6"/>
    <x v="6"/>
    <n v="7"/>
    <x v="0"/>
  </r>
  <r>
    <d v="2025-05-14T00:00:00"/>
    <x v="7"/>
    <s v="Food"/>
    <x v="3"/>
    <x v="1"/>
    <n v="16"/>
    <n v="604.96"/>
    <n v="9679.36"/>
    <x v="11"/>
    <x v="11"/>
    <n v="4"/>
    <x v="1"/>
  </r>
  <r>
    <d v="2025-01-22T00:00:00"/>
    <x v="9"/>
    <s v="Beverage"/>
    <x v="2"/>
    <x v="0"/>
    <n v="8"/>
    <n v="3775.39"/>
    <n v="30203.119999999999"/>
    <x v="9"/>
    <x v="9"/>
    <n v="4"/>
    <x v="1"/>
  </r>
  <r>
    <d v="2025-08-13T00:00:00"/>
    <x v="8"/>
    <s v="Beverage"/>
    <x v="2"/>
    <x v="2"/>
    <n v="15"/>
    <n v="995.51"/>
    <n v="14932.65"/>
    <x v="8"/>
    <x v="8"/>
    <n v="4"/>
    <x v="1"/>
  </r>
  <r>
    <d v="2025-11-12T00:00:00"/>
    <x v="7"/>
    <s v="Groceries"/>
    <x v="3"/>
    <x v="1"/>
    <n v="17"/>
    <n v="1037.3800000000001"/>
    <n v="17635.46"/>
    <x v="3"/>
    <x v="3"/>
    <n v="4"/>
    <x v="1"/>
  </r>
  <r>
    <d v="2025-06-06T00:00:00"/>
    <x v="8"/>
    <s v="Beverage"/>
    <x v="0"/>
    <x v="2"/>
    <n v="9"/>
    <n v="1271.8399999999999"/>
    <n v="11446.56"/>
    <x v="4"/>
    <x v="4"/>
    <n v="6"/>
    <x v="3"/>
  </r>
  <r>
    <d v="2025-12-14T00:00:00"/>
    <x v="6"/>
    <s v="Beverage"/>
    <x v="2"/>
    <x v="0"/>
    <n v="1"/>
    <n v="11178.12"/>
    <n v="11178.12"/>
    <x v="5"/>
    <x v="5"/>
    <n v="1"/>
    <x v="4"/>
  </r>
  <r>
    <d v="2025-09-09T00:00:00"/>
    <x v="8"/>
    <s v="Groceries"/>
    <x v="2"/>
    <x v="0"/>
    <n v="18"/>
    <n v="1034.08"/>
    <n v="18613.439999999999"/>
    <x v="7"/>
    <x v="7"/>
    <n v="3"/>
    <x v="6"/>
  </r>
  <r>
    <d v="2025-08-10T00:00:00"/>
    <x v="9"/>
    <s v="Beverage"/>
    <x v="0"/>
    <x v="0"/>
    <n v="15"/>
    <n v="4529.1099999999997"/>
    <n v="67936.649999999994"/>
    <x v="8"/>
    <x v="8"/>
    <n v="1"/>
    <x v="4"/>
  </r>
  <r>
    <d v="2025-05-06T00:00:00"/>
    <x v="1"/>
    <s v="Beverage"/>
    <x v="1"/>
    <x v="2"/>
    <n v="8"/>
    <n v="1006.39"/>
    <n v="8051.12"/>
    <x v="11"/>
    <x v="11"/>
    <n v="3"/>
    <x v="6"/>
  </r>
  <r>
    <d v="2025-10-25T00:00:00"/>
    <x v="9"/>
    <s v="Groceries"/>
    <x v="2"/>
    <x v="0"/>
    <n v="3"/>
    <n v="2988.03"/>
    <n v="8964.09"/>
    <x v="1"/>
    <x v="1"/>
    <n v="7"/>
    <x v="0"/>
  </r>
  <r>
    <d v="2025-01-13T00:00:00"/>
    <x v="1"/>
    <s v="Groceries"/>
    <x v="2"/>
    <x v="2"/>
    <n v="13"/>
    <n v="734.91"/>
    <n v="9553.83"/>
    <x v="9"/>
    <x v="9"/>
    <n v="2"/>
    <x v="2"/>
  </r>
  <r>
    <d v="2025-09-20T00:00:00"/>
    <x v="7"/>
    <s v="Groceries"/>
    <x v="0"/>
    <x v="2"/>
    <n v="2"/>
    <n v="605.11"/>
    <n v="1210.22"/>
    <x v="7"/>
    <x v="7"/>
    <n v="7"/>
    <x v="0"/>
  </r>
  <r>
    <d v="2025-08-02T00:00:00"/>
    <x v="9"/>
    <s v="Groceries"/>
    <x v="2"/>
    <x v="0"/>
    <n v="17"/>
    <n v="2528.4299999999998"/>
    <n v="42983.31"/>
    <x v="8"/>
    <x v="8"/>
    <n v="7"/>
    <x v="0"/>
  </r>
  <r>
    <d v="2025-11-21T00:00:00"/>
    <x v="9"/>
    <s v="Groceries"/>
    <x v="3"/>
    <x v="1"/>
    <n v="1"/>
    <n v="4188.5200000000004"/>
    <n v="4188.5200000000004"/>
    <x v="3"/>
    <x v="3"/>
    <n v="6"/>
    <x v="3"/>
  </r>
  <r>
    <d v="2025-02-28T00:00:00"/>
    <x v="8"/>
    <s v="Groceries"/>
    <x v="3"/>
    <x v="1"/>
    <n v="15"/>
    <n v="1119.71"/>
    <n v="16795.650000000001"/>
    <x v="2"/>
    <x v="2"/>
    <n v="6"/>
    <x v="3"/>
  </r>
  <r>
    <d v="2025-10-03T00:00:00"/>
    <x v="3"/>
    <s v="Beverage"/>
    <x v="1"/>
    <x v="0"/>
    <n v="17"/>
    <n v="2348.23"/>
    <n v="39919.910000000003"/>
    <x v="1"/>
    <x v="1"/>
    <n v="6"/>
    <x v="3"/>
  </r>
  <r>
    <d v="2025-10-01T00:00:00"/>
    <x v="1"/>
    <s v="Groceries"/>
    <x v="1"/>
    <x v="1"/>
    <n v="9"/>
    <n v="1001.79"/>
    <n v="9016.11"/>
    <x v="1"/>
    <x v="1"/>
    <n v="4"/>
    <x v="1"/>
  </r>
  <r>
    <d v="2025-05-08T00:00:00"/>
    <x v="1"/>
    <s v="Beverage"/>
    <x v="2"/>
    <x v="0"/>
    <n v="16"/>
    <n v="728.75"/>
    <n v="11660"/>
    <x v="11"/>
    <x v="11"/>
    <n v="5"/>
    <x v="5"/>
  </r>
  <r>
    <d v="2025-08-24T00:00:00"/>
    <x v="8"/>
    <s v="Food"/>
    <x v="3"/>
    <x v="1"/>
    <n v="7"/>
    <n v="1094.27"/>
    <n v="7659.89"/>
    <x v="8"/>
    <x v="8"/>
    <n v="1"/>
    <x v="4"/>
  </r>
  <r>
    <d v="2025-03-09T00:00:00"/>
    <x v="9"/>
    <s v="Food"/>
    <x v="0"/>
    <x v="0"/>
    <n v="12"/>
    <n v="3638.68"/>
    <n v="43664.160000000003"/>
    <x v="10"/>
    <x v="10"/>
    <n v="1"/>
    <x v="4"/>
  </r>
  <r>
    <d v="2025-03-26T00:00:00"/>
    <x v="4"/>
    <s v="Food"/>
    <x v="1"/>
    <x v="2"/>
    <n v="5"/>
    <n v="3782.47"/>
    <n v="18912.349999999999"/>
    <x v="10"/>
    <x v="10"/>
    <n v="4"/>
    <x v="1"/>
  </r>
  <r>
    <d v="2025-04-03T00:00:00"/>
    <x v="0"/>
    <s v="Food"/>
    <x v="3"/>
    <x v="0"/>
    <n v="16"/>
    <n v="1420.98"/>
    <n v="22735.68"/>
    <x v="0"/>
    <x v="0"/>
    <n v="5"/>
    <x v="5"/>
  </r>
  <r>
    <d v="2025-04-09T00:00:00"/>
    <x v="6"/>
    <s v="Beverage"/>
    <x v="1"/>
    <x v="1"/>
    <n v="10"/>
    <n v="19042.310000000001"/>
    <n v="190423.1"/>
    <x v="0"/>
    <x v="0"/>
    <n v="4"/>
    <x v="1"/>
  </r>
  <r>
    <d v="2025-04-09T00:00:00"/>
    <x v="3"/>
    <s v="Groceries"/>
    <x v="1"/>
    <x v="0"/>
    <n v="19"/>
    <n v="2504.6999999999998"/>
    <n v="47589.3"/>
    <x v="0"/>
    <x v="0"/>
    <n v="4"/>
    <x v="1"/>
  </r>
  <r>
    <d v="2025-09-13T00:00:00"/>
    <x v="2"/>
    <s v="Food"/>
    <x v="2"/>
    <x v="2"/>
    <n v="16"/>
    <n v="445.4"/>
    <n v="7126.4"/>
    <x v="7"/>
    <x v="7"/>
    <n v="7"/>
    <x v="0"/>
  </r>
  <r>
    <d v="2025-09-03T00:00:00"/>
    <x v="3"/>
    <s v="Food"/>
    <x v="3"/>
    <x v="1"/>
    <n v="12"/>
    <n v="2332.25"/>
    <n v="27987"/>
    <x v="7"/>
    <x v="7"/>
    <n v="4"/>
    <x v="1"/>
  </r>
  <r>
    <d v="2025-02-02T00:00:00"/>
    <x v="6"/>
    <s v="Food"/>
    <x v="0"/>
    <x v="0"/>
    <n v="5"/>
    <n v="16133.46"/>
    <n v="80667.3"/>
    <x v="2"/>
    <x v="2"/>
    <n v="1"/>
    <x v="4"/>
  </r>
  <r>
    <d v="2025-03-05T00:00:00"/>
    <x v="6"/>
    <s v="Beverage"/>
    <x v="0"/>
    <x v="2"/>
    <n v="13"/>
    <n v="12431.3"/>
    <n v="161606.9"/>
    <x v="10"/>
    <x v="10"/>
    <n v="4"/>
    <x v="1"/>
  </r>
  <r>
    <d v="2025-10-28T00:00:00"/>
    <x v="3"/>
    <s v="Food"/>
    <x v="0"/>
    <x v="0"/>
    <n v="3"/>
    <n v="2254.83"/>
    <n v="6764.49"/>
    <x v="1"/>
    <x v="1"/>
    <n v="3"/>
    <x v="6"/>
  </r>
  <r>
    <d v="2025-03-30T00:00:00"/>
    <x v="2"/>
    <s v="Food"/>
    <x v="1"/>
    <x v="0"/>
    <n v="2"/>
    <n v="513.85"/>
    <n v="1027.7"/>
    <x v="10"/>
    <x v="10"/>
    <n v="1"/>
    <x v="4"/>
  </r>
  <r>
    <d v="2025-07-14T00:00:00"/>
    <x v="1"/>
    <s v="Food"/>
    <x v="1"/>
    <x v="1"/>
    <n v="11"/>
    <n v="1103.83"/>
    <n v="12142.13"/>
    <x v="6"/>
    <x v="6"/>
    <n v="2"/>
    <x v="2"/>
  </r>
  <r>
    <d v="2025-08-04T00:00:00"/>
    <x v="8"/>
    <s v="Food"/>
    <x v="2"/>
    <x v="2"/>
    <n v="10"/>
    <n v="954.08"/>
    <n v="9540.7999999999993"/>
    <x v="8"/>
    <x v="8"/>
    <n v="2"/>
    <x v="2"/>
  </r>
  <r>
    <d v="2025-07-10T00:00:00"/>
    <x v="7"/>
    <s v="Food"/>
    <x v="0"/>
    <x v="2"/>
    <n v="18"/>
    <n v="680.01"/>
    <n v="12240.18"/>
    <x v="6"/>
    <x v="6"/>
    <n v="5"/>
    <x v="5"/>
  </r>
  <r>
    <d v="2025-04-05T00:00:00"/>
    <x v="2"/>
    <s v="Groceries"/>
    <x v="1"/>
    <x v="1"/>
    <n v="12"/>
    <n v="574.44000000000005"/>
    <n v="6893.28"/>
    <x v="0"/>
    <x v="0"/>
    <n v="7"/>
    <x v="0"/>
  </r>
  <r>
    <d v="2025-01-17T00:00:00"/>
    <x v="5"/>
    <s v="Food"/>
    <x v="0"/>
    <x v="3"/>
    <n v="17"/>
    <n v="1530.89"/>
    <n v="26025.13"/>
    <x v="9"/>
    <x v="9"/>
    <n v="6"/>
    <x v="3"/>
  </r>
  <r>
    <d v="2025-03-28T00:00:00"/>
    <x v="4"/>
    <s v="Beverage"/>
    <x v="2"/>
    <x v="0"/>
    <n v="19"/>
    <n v="4667.6099999999997"/>
    <n v="88684.59"/>
    <x v="10"/>
    <x v="10"/>
    <n v="6"/>
    <x v="3"/>
  </r>
  <r>
    <d v="2025-08-20T00:00:00"/>
    <x v="7"/>
    <s v="Food"/>
    <x v="0"/>
    <x v="2"/>
    <n v="14"/>
    <n v="884.85"/>
    <n v="12387.9"/>
    <x v="8"/>
    <x v="8"/>
    <n v="4"/>
    <x v="1"/>
  </r>
  <r>
    <d v="2025-02-21T00:00:00"/>
    <x v="7"/>
    <s v="Beverage"/>
    <x v="0"/>
    <x v="3"/>
    <n v="5"/>
    <n v="700.74"/>
    <n v="3503.7"/>
    <x v="2"/>
    <x v="2"/>
    <n v="6"/>
    <x v="3"/>
  </r>
  <r>
    <d v="2025-01-25T00:00:00"/>
    <x v="0"/>
    <s v="Groceries"/>
    <x v="2"/>
    <x v="2"/>
    <n v="16"/>
    <n v="1408.53"/>
    <n v="22536.48"/>
    <x v="9"/>
    <x v="9"/>
    <n v="7"/>
    <x v="0"/>
  </r>
  <r>
    <d v="2025-04-18T00:00:00"/>
    <x v="8"/>
    <s v="Beverage"/>
    <x v="1"/>
    <x v="0"/>
    <n v="5"/>
    <n v="1142.22"/>
    <n v="5711.1"/>
    <x v="0"/>
    <x v="0"/>
    <n v="6"/>
    <x v="3"/>
  </r>
  <r>
    <d v="2025-08-08T00:00:00"/>
    <x v="3"/>
    <s v="Groceries"/>
    <x v="3"/>
    <x v="1"/>
    <n v="10"/>
    <n v="3005.45"/>
    <n v="30054.5"/>
    <x v="8"/>
    <x v="8"/>
    <n v="6"/>
    <x v="3"/>
  </r>
  <r>
    <d v="2025-09-09T00:00:00"/>
    <x v="9"/>
    <s v="Groceries"/>
    <x v="1"/>
    <x v="1"/>
    <n v="8"/>
    <n v="2602.8000000000002"/>
    <n v="20822.400000000001"/>
    <x v="7"/>
    <x v="7"/>
    <n v="3"/>
    <x v="6"/>
  </r>
  <r>
    <d v="2025-10-09T00:00:00"/>
    <x v="1"/>
    <s v="Beverage"/>
    <x v="2"/>
    <x v="1"/>
    <n v="5"/>
    <n v="755.94"/>
    <n v="3779.7"/>
    <x v="1"/>
    <x v="1"/>
    <n v="5"/>
    <x v="5"/>
  </r>
  <r>
    <d v="2025-05-15T00:00:00"/>
    <x v="6"/>
    <s v="Beverage"/>
    <x v="3"/>
    <x v="1"/>
    <n v="7"/>
    <n v="19374.009999999998"/>
    <n v="135618.07"/>
    <x v="11"/>
    <x v="11"/>
    <n v="5"/>
    <x v="5"/>
  </r>
  <r>
    <d v="2025-05-11T00:00:00"/>
    <x v="0"/>
    <s v="Beverage"/>
    <x v="3"/>
    <x v="1"/>
    <n v="12"/>
    <n v="1242.05"/>
    <n v="14904.6"/>
    <x v="11"/>
    <x v="11"/>
    <n v="1"/>
    <x v="4"/>
  </r>
  <r>
    <d v="2025-03-31T00:00:00"/>
    <x v="1"/>
    <s v="Beverage"/>
    <x v="0"/>
    <x v="0"/>
    <n v="13"/>
    <n v="636.13"/>
    <n v="8269.69"/>
    <x v="10"/>
    <x v="10"/>
    <n v="2"/>
    <x v="2"/>
  </r>
  <r>
    <d v="2025-08-07T00:00:00"/>
    <x v="1"/>
    <s v="Food"/>
    <x v="0"/>
    <x v="3"/>
    <n v="7"/>
    <n v="1032.8599999999999"/>
    <n v="7230.02"/>
    <x v="8"/>
    <x v="8"/>
    <n v="5"/>
    <x v="5"/>
  </r>
  <r>
    <d v="2025-12-13T00:00:00"/>
    <x v="4"/>
    <s v="Groceries"/>
    <x v="3"/>
    <x v="1"/>
    <n v="1"/>
    <n v="4170.79"/>
    <n v="4170.79"/>
    <x v="5"/>
    <x v="5"/>
    <n v="7"/>
    <x v="0"/>
  </r>
  <r>
    <d v="2025-05-13T00:00:00"/>
    <x v="1"/>
    <s v="Food"/>
    <x v="3"/>
    <x v="1"/>
    <n v="15"/>
    <n v="1111.22"/>
    <n v="16668.3"/>
    <x v="11"/>
    <x v="11"/>
    <n v="3"/>
    <x v="6"/>
  </r>
  <r>
    <d v="2025-07-31T00:00:00"/>
    <x v="8"/>
    <s v="Groceries"/>
    <x v="0"/>
    <x v="2"/>
    <n v="18"/>
    <n v="799.73"/>
    <n v="14395.14"/>
    <x v="6"/>
    <x v="6"/>
    <n v="5"/>
    <x v="5"/>
  </r>
  <r>
    <d v="2025-10-31T00:00:00"/>
    <x v="6"/>
    <s v="Food"/>
    <x v="1"/>
    <x v="0"/>
    <n v="16"/>
    <n v="17133.91"/>
    <n v="274142.56"/>
    <x v="1"/>
    <x v="1"/>
    <n v="6"/>
    <x v="3"/>
  </r>
  <r>
    <d v="2025-01-12T00:00:00"/>
    <x v="1"/>
    <s v="Beverage"/>
    <x v="3"/>
    <x v="4"/>
    <n v="8"/>
    <n v="721.63"/>
    <n v="5773.04"/>
    <x v="9"/>
    <x v="9"/>
    <n v="1"/>
    <x v="4"/>
  </r>
  <r>
    <d v="2025-06-12T00:00:00"/>
    <x v="1"/>
    <s v="Beverage"/>
    <x v="3"/>
    <x v="0"/>
    <n v="5"/>
    <n v="1156.17"/>
    <n v="5780.85"/>
    <x v="4"/>
    <x v="4"/>
    <n v="5"/>
    <x v="5"/>
  </r>
  <r>
    <d v="2025-07-10T00:00:00"/>
    <x v="9"/>
    <s v="Groceries"/>
    <x v="2"/>
    <x v="3"/>
    <n v="1"/>
    <n v="3313.53"/>
    <n v="3313.53"/>
    <x v="6"/>
    <x v="6"/>
    <n v="5"/>
    <x v="5"/>
  </r>
  <r>
    <d v="2025-08-07T00:00:00"/>
    <x v="7"/>
    <s v="Food"/>
    <x v="1"/>
    <x v="0"/>
    <n v="19"/>
    <n v="908.35"/>
    <n v="17258.650000000001"/>
    <x v="8"/>
    <x v="8"/>
    <n v="5"/>
    <x v="5"/>
  </r>
  <r>
    <d v="2025-10-29T00:00:00"/>
    <x v="4"/>
    <s v="Beverage"/>
    <x v="1"/>
    <x v="0"/>
    <n v="13"/>
    <n v="3994.5"/>
    <n v="51928.5"/>
    <x v="1"/>
    <x v="1"/>
    <n v="4"/>
    <x v="1"/>
  </r>
  <r>
    <d v="2025-10-15T00:00:00"/>
    <x v="9"/>
    <s v="Food"/>
    <x v="1"/>
    <x v="2"/>
    <n v="11"/>
    <n v="3697.67"/>
    <n v="40674.370000000003"/>
    <x v="1"/>
    <x v="1"/>
    <n v="4"/>
    <x v="1"/>
  </r>
  <r>
    <d v="2025-03-03T00:00:00"/>
    <x v="4"/>
    <s v="Beverage"/>
    <x v="0"/>
    <x v="0"/>
    <n v="17"/>
    <n v="6014.99"/>
    <n v="102254.83"/>
    <x v="10"/>
    <x v="10"/>
    <n v="2"/>
    <x v="2"/>
  </r>
  <r>
    <d v="2025-04-07T00:00:00"/>
    <x v="4"/>
    <s v="Groceries"/>
    <x v="0"/>
    <x v="3"/>
    <n v="16"/>
    <n v="3726.08"/>
    <n v="59617.279999999999"/>
    <x v="0"/>
    <x v="0"/>
    <n v="2"/>
    <x v="2"/>
  </r>
  <r>
    <d v="2025-07-15T00:00:00"/>
    <x v="8"/>
    <s v="Beverage"/>
    <x v="0"/>
    <x v="3"/>
    <n v="5"/>
    <n v="1135.67"/>
    <n v="5678.35"/>
    <x v="6"/>
    <x v="6"/>
    <n v="3"/>
    <x v="6"/>
  </r>
  <r>
    <d v="2025-07-20T00:00:00"/>
    <x v="1"/>
    <s v="Groceries"/>
    <x v="2"/>
    <x v="1"/>
    <n v="14"/>
    <n v="740.72"/>
    <n v="10370.08"/>
    <x v="6"/>
    <x v="6"/>
    <n v="1"/>
    <x v="4"/>
  </r>
  <r>
    <d v="2025-01-01T00:00:00"/>
    <x v="7"/>
    <s v="Food"/>
    <x v="2"/>
    <x v="2"/>
    <n v="1"/>
    <n v="882.42"/>
    <n v="882.42"/>
    <x v="9"/>
    <x v="9"/>
    <n v="4"/>
    <x v="1"/>
  </r>
  <r>
    <d v="2025-10-14T00:00:00"/>
    <x v="3"/>
    <s v="Groceries"/>
    <x v="3"/>
    <x v="0"/>
    <n v="2"/>
    <n v="2464.3200000000002"/>
    <n v="4928.6400000000003"/>
    <x v="1"/>
    <x v="1"/>
    <n v="3"/>
    <x v="6"/>
  </r>
  <r>
    <d v="2025-09-15T00:00:00"/>
    <x v="3"/>
    <s v="Food"/>
    <x v="1"/>
    <x v="2"/>
    <n v="5"/>
    <n v="1882.61"/>
    <n v="9413.0499999999993"/>
    <x v="7"/>
    <x v="7"/>
    <n v="2"/>
    <x v="2"/>
  </r>
  <r>
    <d v="2025-09-07T00:00:00"/>
    <x v="4"/>
    <s v="Food"/>
    <x v="3"/>
    <x v="1"/>
    <n v="14"/>
    <n v="5612.24"/>
    <n v="78571.360000000001"/>
    <x v="7"/>
    <x v="7"/>
    <n v="1"/>
    <x v="4"/>
  </r>
  <r>
    <d v="2025-04-12T00:00:00"/>
    <x v="9"/>
    <s v="Beverage"/>
    <x v="1"/>
    <x v="0"/>
    <n v="2"/>
    <n v="3786.95"/>
    <n v="7573.9"/>
    <x v="0"/>
    <x v="0"/>
    <n v="7"/>
    <x v="0"/>
  </r>
  <r>
    <d v="2025-11-30T00:00:00"/>
    <x v="7"/>
    <s v="Groceries"/>
    <x v="1"/>
    <x v="2"/>
    <n v="6"/>
    <n v="776.44"/>
    <n v="4658.6400000000003"/>
    <x v="3"/>
    <x v="3"/>
    <n v="1"/>
    <x v="4"/>
  </r>
  <r>
    <d v="2025-11-30T00:00:00"/>
    <x v="5"/>
    <s v="Beverage"/>
    <x v="0"/>
    <x v="3"/>
    <n v="5"/>
    <n v="1766.82"/>
    <n v="8834.1"/>
    <x v="3"/>
    <x v="3"/>
    <n v="1"/>
    <x v="4"/>
  </r>
  <r>
    <d v="2025-05-17T00:00:00"/>
    <x v="2"/>
    <s v="Food"/>
    <x v="1"/>
    <x v="2"/>
    <n v="5"/>
    <n v="772.81"/>
    <n v="3864.05"/>
    <x v="11"/>
    <x v="11"/>
    <n v="7"/>
    <x v="0"/>
  </r>
  <r>
    <d v="2025-02-22T00:00:00"/>
    <x v="3"/>
    <s v="Food"/>
    <x v="1"/>
    <x v="0"/>
    <n v="11"/>
    <n v="2110.2199999999998"/>
    <n v="23212.42"/>
    <x v="2"/>
    <x v="2"/>
    <n v="7"/>
    <x v="0"/>
  </r>
  <r>
    <d v="2025-04-20T00:00:00"/>
    <x v="4"/>
    <s v="Groceries"/>
    <x v="0"/>
    <x v="0"/>
    <n v="16"/>
    <n v="5422.62"/>
    <n v="86761.919999999998"/>
    <x v="0"/>
    <x v="0"/>
    <n v="1"/>
    <x v="4"/>
  </r>
  <r>
    <d v="2025-12-25T00:00:00"/>
    <x v="0"/>
    <s v="Food"/>
    <x v="0"/>
    <x v="0"/>
    <n v="18"/>
    <n v="1273.3900000000001"/>
    <n v="22921.02"/>
    <x v="5"/>
    <x v="5"/>
    <n v="5"/>
    <x v="5"/>
  </r>
  <r>
    <d v="2025-02-20T00:00:00"/>
    <x v="7"/>
    <s v="Food"/>
    <x v="2"/>
    <x v="0"/>
    <n v="10"/>
    <n v="644.97"/>
    <n v="6449.7"/>
    <x v="2"/>
    <x v="2"/>
    <n v="5"/>
    <x v="5"/>
  </r>
  <r>
    <d v="2025-11-21T00:00:00"/>
    <x v="6"/>
    <s v="Food"/>
    <x v="2"/>
    <x v="2"/>
    <n v="14"/>
    <n v="13778.43"/>
    <n v="192898.02"/>
    <x v="3"/>
    <x v="3"/>
    <n v="6"/>
    <x v="3"/>
  </r>
  <r>
    <d v="2025-03-18T00:00:00"/>
    <x v="1"/>
    <s v="Food"/>
    <x v="0"/>
    <x v="3"/>
    <n v="15"/>
    <n v="969.07"/>
    <n v="14536.05"/>
    <x v="10"/>
    <x v="10"/>
    <n v="3"/>
    <x v="6"/>
  </r>
  <r>
    <d v="2025-08-26T00:00:00"/>
    <x v="2"/>
    <s v="Beverage"/>
    <x v="0"/>
    <x v="3"/>
    <n v="17"/>
    <n v="519.67999999999995"/>
    <n v="8834.56"/>
    <x v="8"/>
    <x v="8"/>
    <n v="3"/>
    <x v="6"/>
  </r>
  <r>
    <d v="2025-09-13T00:00:00"/>
    <x v="2"/>
    <s v="Food"/>
    <x v="0"/>
    <x v="3"/>
    <n v="15"/>
    <n v="613.16999999999996"/>
    <n v="9197.5499999999993"/>
    <x v="7"/>
    <x v="7"/>
    <n v="7"/>
    <x v="0"/>
  </r>
  <r>
    <d v="2025-02-25T00:00:00"/>
    <x v="9"/>
    <s v="Beverage"/>
    <x v="1"/>
    <x v="2"/>
    <n v="14"/>
    <n v="3421.32"/>
    <n v="47898.48"/>
    <x v="2"/>
    <x v="2"/>
    <n v="3"/>
    <x v="6"/>
  </r>
  <r>
    <d v="2025-12-30T00:00:00"/>
    <x v="1"/>
    <s v="Beverage"/>
    <x v="0"/>
    <x v="0"/>
    <n v="7"/>
    <n v="1001.07"/>
    <n v="7007.49"/>
    <x v="5"/>
    <x v="5"/>
    <n v="3"/>
    <x v="6"/>
  </r>
  <r>
    <d v="2025-08-25T00:00:00"/>
    <x v="3"/>
    <s v="Beverage"/>
    <x v="1"/>
    <x v="0"/>
    <n v="19"/>
    <n v="2113.71"/>
    <n v="40160.49"/>
    <x v="8"/>
    <x v="8"/>
    <n v="2"/>
    <x v="2"/>
  </r>
  <r>
    <d v="2025-04-28T00:00:00"/>
    <x v="8"/>
    <s v="Beverage"/>
    <x v="0"/>
    <x v="3"/>
    <n v="17"/>
    <n v="826.87"/>
    <n v="14056.79"/>
    <x v="0"/>
    <x v="0"/>
    <n v="2"/>
    <x v="2"/>
  </r>
  <r>
    <d v="2025-05-05T00:00:00"/>
    <x v="4"/>
    <s v="Food"/>
    <x v="2"/>
    <x v="2"/>
    <n v="4"/>
    <n v="4565.3100000000004"/>
    <n v="18261.240000000002"/>
    <x v="11"/>
    <x v="11"/>
    <n v="2"/>
    <x v="2"/>
  </r>
  <r>
    <d v="2025-08-20T00:00:00"/>
    <x v="3"/>
    <s v="Groceries"/>
    <x v="3"/>
    <x v="0"/>
    <n v="15"/>
    <n v="2868.16"/>
    <n v="43022.400000000001"/>
    <x v="8"/>
    <x v="8"/>
    <n v="4"/>
    <x v="1"/>
  </r>
  <r>
    <d v="2025-08-23T00:00:00"/>
    <x v="7"/>
    <s v="Beverage"/>
    <x v="2"/>
    <x v="1"/>
    <n v="6"/>
    <n v="991.83"/>
    <n v="5950.98"/>
    <x v="8"/>
    <x v="8"/>
    <n v="7"/>
    <x v="0"/>
  </r>
  <r>
    <d v="2025-11-15T00:00:00"/>
    <x v="3"/>
    <s v="Groceries"/>
    <x v="3"/>
    <x v="0"/>
    <n v="13"/>
    <n v="2245.52"/>
    <n v="29191.759999999998"/>
    <x v="3"/>
    <x v="3"/>
    <n v="7"/>
    <x v="0"/>
  </r>
  <r>
    <d v="2025-10-15T00:00:00"/>
    <x v="8"/>
    <s v="Beverage"/>
    <x v="2"/>
    <x v="2"/>
    <n v="11"/>
    <n v="752.73"/>
    <n v="8280.0300000000007"/>
    <x v="1"/>
    <x v="1"/>
    <n v="4"/>
    <x v="1"/>
  </r>
  <r>
    <d v="2025-12-15T00:00:00"/>
    <x v="2"/>
    <s v="Groceries"/>
    <x v="2"/>
    <x v="0"/>
    <n v="19"/>
    <n v="426.57"/>
    <n v="8104.83"/>
    <x v="5"/>
    <x v="5"/>
    <n v="2"/>
    <x v="2"/>
  </r>
  <r>
    <d v="2025-08-16T00:00:00"/>
    <x v="0"/>
    <s v="Groceries"/>
    <x v="1"/>
    <x v="0"/>
    <n v="11"/>
    <n v="1463.17"/>
    <n v="16094.87"/>
    <x v="8"/>
    <x v="8"/>
    <n v="7"/>
    <x v="0"/>
  </r>
  <r>
    <d v="2025-05-13T00:00:00"/>
    <x v="9"/>
    <s v="Food"/>
    <x v="1"/>
    <x v="5"/>
    <n v="2"/>
    <n v="3619.2"/>
    <n v="7238.4"/>
    <x v="11"/>
    <x v="11"/>
    <n v="3"/>
    <x v="6"/>
  </r>
  <r>
    <d v="2025-01-26T00:00:00"/>
    <x v="7"/>
    <s v="Food"/>
    <x v="3"/>
    <x v="1"/>
    <n v="6"/>
    <n v="1024.6400000000001"/>
    <n v="6147.84"/>
    <x v="9"/>
    <x v="9"/>
    <n v="1"/>
    <x v="4"/>
  </r>
  <r>
    <d v="2025-11-19T00:00:00"/>
    <x v="7"/>
    <s v="Food"/>
    <x v="3"/>
    <x v="1"/>
    <n v="12"/>
    <n v="615.12"/>
    <n v="7381.44"/>
    <x v="3"/>
    <x v="3"/>
    <n v="4"/>
    <x v="1"/>
  </r>
  <r>
    <d v="2025-03-30T00:00:00"/>
    <x v="9"/>
    <s v="Food"/>
    <x v="1"/>
    <x v="5"/>
    <n v="4"/>
    <n v="3123.35"/>
    <n v="12493.4"/>
    <x v="10"/>
    <x v="10"/>
    <n v="1"/>
    <x v="4"/>
  </r>
  <r>
    <d v="2025-09-19T00:00:00"/>
    <x v="6"/>
    <s v="Beverage"/>
    <x v="1"/>
    <x v="0"/>
    <n v="5"/>
    <n v="11070.37"/>
    <n v="55351.85"/>
    <x v="7"/>
    <x v="7"/>
    <n v="6"/>
    <x v="3"/>
  </r>
  <r>
    <d v="2025-06-20T00:00:00"/>
    <x v="3"/>
    <s v="Food"/>
    <x v="3"/>
    <x v="0"/>
    <n v="1"/>
    <n v="1958.24"/>
    <n v="1958.24"/>
    <x v="4"/>
    <x v="4"/>
    <n v="6"/>
    <x v="3"/>
  </r>
  <r>
    <d v="2025-11-24T00:00:00"/>
    <x v="6"/>
    <s v="Food"/>
    <x v="0"/>
    <x v="5"/>
    <n v="17"/>
    <n v="18156.55"/>
    <n v="308661.34999999998"/>
    <x v="3"/>
    <x v="3"/>
    <n v="2"/>
    <x v="2"/>
  </r>
  <r>
    <d v="2025-08-23T00:00:00"/>
    <x v="3"/>
    <s v="Beverage"/>
    <x v="2"/>
    <x v="5"/>
    <n v="9"/>
    <n v="2057.5"/>
    <n v="18517.5"/>
    <x v="8"/>
    <x v="8"/>
    <n v="7"/>
    <x v="0"/>
  </r>
  <r>
    <d v="2025-02-04T00:00:00"/>
    <x v="6"/>
    <s v="Beverage"/>
    <x v="3"/>
    <x v="1"/>
    <n v="8"/>
    <n v="17951.47"/>
    <n v="143611.76"/>
    <x v="2"/>
    <x v="2"/>
    <n v="3"/>
    <x v="6"/>
  </r>
  <r>
    <d v="2025-08-16T00:00:00"/>
    <x v="7"/>
    <s v="Food"/>
    <x v="2"/>
    <x v="1"/>
    <n v="19"/>
    <n v="879.29"/>
    <n v="16706.509999999998"/>
    <x v="8"/>
    <x v="8"/>
    <n v="7"/>
    <x v="0"/>
  </r>
  <r>
    <d v="2025-03-02T00:00:00"/>
    <x v="0"/>
    <s v="Food"/>
    <x v="2"/>
    <x v="0"/>
    <n v="18"/>
    <n v="1427.95"/>
    <n v="25703.1"/>
    <x v="10"/>
    <x v="10"/>
    <n v="1"/>
    <x v="4"/>
  </r>
  <r>
    <d v="2025-10-21T00:00:00"/>
    <x v="2"/>
    <s v="Beverage"/>
    <x v="3"/>
    <x v="5"/>
    <n v="6"/>
    <n v="614.32000000000005"/>
    <n v="3685.92"/>
    <x v="1"/>
    <x v="1"/>
    <n v="3"/>
    <x v="6"/>
  </r>
  <r>
    <d v="2025-03-11T00:00:00"/>
    <x v="6"/>
    <s v="Food"/>
    <x v="2"/>
    <x v="3"/>
    <n v="15"/>
    <n v="13955.02"/>
    <n v="209325.3"/>
    <x v="10"/>
    <x v="10"/>
    <n v="3"/>
    <x v="6"/>
  </r>
  <r>
    <d v="2025-11-04T00:00:00"/>
    <x v="2"/>
    <s v="Groceries"/>
    <x v="0"/>
    <x v="5"/>
    <n v="6"/>
    <n v="758.34"/>
    <n v="4550.04"/>
    <x v="3"/>
    <x v="3"/>
    <n v="3"/>
    <x v="6"/>
  </r>
  <r>
    <d v="2025-06-27T00:00:00"/>
    <x v="2"/>
    <s v="Beverage"/>
    <x v="3"/>
    <x v="4"/>
    <n v="15"/>
    <n v="736.31"/>
    <n v="11044.65"/>
    <x v="4"/>
    <x v="4"/>
    <n v="6"/>
    <x v="3"/>
  </r>
  <r>
    <d v="2025-10-15T00:00:00"/>
    <x v="0"/>
    <s v="Beverage"/>
    <x v="0"/>
    <x v="5"/>
    <n v="4"/>
    <n v="1558.34"/>
    <n v="6233.36"/>
    <x v="1"/>
    <x v="1"/>
    <n v="4"/>
    <x v="1"/>
  </r>
  <r>
    <d v="2025-04-06T00:00:00"/>
    <x v="8"/>
    <s v="Groceries"/>
    <x v="0"/>
    <x v="3"/>
    <n v="4"/>
    <n v="1041.93"/>
    <n v="4167.72"/>
    <x v="0"/>
    <x v="0"/>
    <n v="1"/>
    <x v="4"/>
  </r>
  <r>
    <d v="2025-01-10T00:00:00"/>
    <x v="8"/>
    <s v="Groceries"/>
    <x v="1"/>
    <x v="2"/>
    <n v="6"/>
    <n v="1021.89"/>
    <n v="6131.34"/>
    <x v="9"/>
    <x v="9"/>
    <n v="6"/>
    <x v="3"/>
  </r>
  <r>
    <d v="2025-10-29T00:00:00"/>
    <x v="0"/>
    <s v="Food"/>
    <x v="3"/>
    <x v="4"/>
    <n v="15"/>
    <n v="1414.05"/>
    <n v="21210.75"/>
    <x v="1"/>
    <x v="1"/>
    <n v="4"/>
    <x v="1"/>
  </r>
  <r>
    <d v="2025-09-17T00:00:00"/>
    <x v="0"/>
    <s v="Food"/>
    <x v="1"/>
    <x v="5"/>
    <n v="19"/>
    <n v="1339.64"/>
    <n v="25453.16"/>
    <x v="7"/>
    <x v="7"/>
    <n v="4"/>
    <x v="1"/>
  </r>
  <r>
    <d v="2025-10-18T00:00:00"/>
    <x v="1"/>
    <s v="Groceries"/>
    <x v="0"/>
    <x v="3"/>
    <n v="11"/>
    <n v="1147.9000000000001"/>
    <n v="12626.9"/>
    <x v="1"/>
    <x v="1"/>
    <n v="7"/>
    <x v="0"/>
  </r>
  <r>
    <d v="2025-12-25T00:00:00"/>
    <x v="9"/>
    <s v="Beverage"/>
    <x v="3"/>
    <x v="0"/>
    <n v="14"/>
    <n v="3741.4"/>
    <n v="52379.6"/>
    <x v="5"/>
    <x v="5"/>
    <n v="5"/>
    <x v="5"/>
  </r>
  <r>
    <d v="2025-08-05T00:00:00"/>
    <x v="2"/>
    <s v="Beverage"/>
    <x v="1"/>
    <x v="2"/>
    <n v="1"/>
    <n v="426.52"/>
    <n v="426.52"/>
    <x v="8"/>
    <x v="8"/>
    <n v="3"/>
    <x v="6"/>
  </r>
  <r>
    <d v="2025-11-11T00:00:00"/>
    <x v="0"/>
    <s v="Food"/>
    <x v="3"/>
    <x v="1"/>
    <n v="8"/>
    <n v="1308.98"/>
    <n v="10471.84"/>
    <x v="3"/>
    <x v="3"/>
    <n v="3"/>
    <x v="6"/>
  </r>
  <r>
    <d v="2025-04-01T00:00:00"/>
    <x v="1"/>
    <s v="Food"/>
    <x v="1"/>
    <x v="5"/>
    <n v="14"/>
    <n v="1134.56"/>
    <n v="15883.84"/>
    <x v="0"/>
    <x v="0"/>
    <n v="3"/>
    <x v="6"/>
  </r>
  <r>
    <d v="2025-08-01T00:00:00"/>
    <x v="5"/>
    <s v="Food"/>
    <x v="1"/>
    <x v="1"/>
    <n v="14"/>
    <n v="1217.69"/>
    <n v="17047.66"/>
    <x v="8"/>
    <x v="8"/>
    <n v="6"/>
    <x v="3"/>
  </r>
  <r>
    <d v="2025-11-08T00:00:00"/>
    <x v="6"/>
    <s v="Groceries"/>
    <x v="1"/>
    <x v="5"/>
    <n v="8"/>
    <n v="15971.05"/>
    <n v="127768.4"/>
    <x v="3"/>
    <x v="3"/>
    <n v="7"/>
    <x v="0"/>
  </r>
  <r>
    <d v="2025-11-04T00:00:00"/>
    <x v="4"/>
    <s v="Beverage"/>
    <x v="3"/>
    <x v="1"/>
    <n v="9"/>
    <n v="3842.8"/>
    <n v="34585.199999999997"/>
    <x v="3"/>
    <x v="3"/>
    <n v="3"/>
    <x v="6"/>
  </r>
  <r>
    <d v="2025-08-31T00:00:00"/>
    <x v="4"/>
    <s v="Beverage"/>
    <x v="0"/>
    <x v="0"/>
    <n v="7"/>
    <n v="4540.8599999999997"/>
    <n v="31786.02"/>
    <x v="8"/>
    <x v="8"/>
    <n v="1"/>
    <x v="4"/>
  </r>
  <r>
    <d v="2025-12-12T00:00:00"/>
    <x v="6"/>
    <s v="Groceries"/>
    <x v="0"/>
    <x v="2"/>
    <n v="19"/>
    <n v="12734.04"/>
    <n v="241946.76"/>
    <x v="5"/>
    <x v="5"/>
    <n v="6"/>
    <x v="3"/>
  </r>
  <r>
    <d v="2025-01-25T00:00:00"/>
    <x v="5"/>
    <s v="Beverage"/>
    <x v="2"/>
    <x v="3"/>
    <n v="17"/>
    <n v="1752.45"/>
    <n v="29791.65"/>
    <x v="9"/>
    <x v="9"/>
    <n v="7"/>
    <x v="0"/>
  </r>
  <r>
    <d v="2025-05-29T00:00:00"/>
    <x v="1"/>
    <s v="Beverage"/>
    <x v="2"/>
    <x v="3"/>
    <n v="7"/>
    <n v="1156.79"/>
    <n v="8097.53"/>
    <x v="11"/>
    <x v="11"/>
    <n v="5"/>
    <x v="5"/>
  </r>
  <r>
    <d v="2025-12-26T00:00:00"/>
    <x v="6"/>
    <s v="Beverage"/>
    <x v="1"/>
    <x v="2"/>
    <n v="8"/>
    <n v="15019.76"/>
    <n v="120158.08"/>
    <x v="5"/>
    <x v="5"/>
    <n v="6"/>
    <x v="3"/>
  </r>
  <r>
    <d v="2025-09-13T00:00:00"/>
    <x v="5"/>
    <s v="Groceries"/>
    <x v="0"/>
    <x v="5"/>
    <n v="17"/>
    <n v="1082.8900000000001"/>
    <n v="18409.13"/>
    <x v="7"/>
    <x v="7"/>
    <n v="7"/>
    <x v="0"/>
  </r>
  <r>
    <d v="2025-10-12T00:00:00"/>
    <x v="2"/>
    <s v="Groceries"/>
    <x v="1"/>
    <x v="2"/>
    <n v="14"/>
    <n v="677.06"/>
    <n v="9478.84"/>
    <x v="1"/>
    <x v="1"/>
    <n v="1"/>
    <x v="4"/>
  </r>
  <r>
    <d v="2025-07-12T00:00:00"/>
    <x v="9"/>
    <s v="Food"/>
    <x v="1"/>
    <x v="5"/>
    <n v="4"/>
    <n v="2832.05"/>
    <n v="11328.2"/>
    <x v="6"/>
    <x v="6"/>
    <n v="7"/>
    <x v="0"/>
  </r>
  <r>
    <d v="2025-02-24T00:00:00"/>
    <x v="5"/>
    <s v="Groceries"/>
    <x v="3"/>
    <x v="0"/>
    <n v="10"/>
    <n v="1857.69"/>
    <n v="18576.900000000001"/>
    <x v="2"/>
    <x v="2"/>
    <n v="2"/>
    <x v="2"/>
  </r>
  <r>
    <d v="2025-06-10T00:00:00"/>
    <x v="6"/>
    <s v="Groceries"/>
    <x v="0"/>
    <x v="2"/>
    <n v="18"/>
    <n v="18302.939999999999"/>
    <n v="329452.92"/>
    <x v="4"/>
    <x v="4"/>
    <n v="3"/>
    <x v="6"/>
  </r>
  <r>
    <d v="2025-01-08T00:00:00"/>
    <x v="6"/>
    <s v="Food"/>
    <x v="0"/>
    <x v="5"/>
    <n v="8"/>
    <n v="11436.98"/>
    <n v="91495.84"/>
    <x v="9"/>
    <x v="9"/>
    <n v="4"/>
    <x v="1"/>
  </r>
  <r>
    <d v="2025-08-26T00:00:00"/>
    <x v="8"/>
    <s v="Groceries"/>
    <x v="0"/>
    <x v="3"/>
    <n v="15"/>
    <n v="1132.49"/>
    <n v="16987.349999999999"/>
    <x v="8"/>
    <x v="8"/>
    <n v="3"/>
    <x v="6"/>
  </r>
  <r>
    <d v="2025-10-17T00:00:00"/>
    <x v="2"/>
    <s v="Beverage"/>
    <x v="3"/>
    <x v="5"/>
    <n v="16"/>
    <n v="562.99"/>
    <n v="9007.84"/>
    <x v="1"/>
    <x v="1"/>
    <n v="6"/>
    <x v="3"/>
  </r>
  <r>
    <d v="2025-06-13T00:00:00"/>
    <x v="9"/>
    <s v="Food"/>
    <x v="1"/>
    <x v="0"/>
    <n v="7"/>
    <n v="3779.81"/>
    <n v="26458.67"/>
    <x v="4"/>
    <x v="4"/>
    <n v="6"/>
    <x v="3"/>
  </r>
  <r>
    <d v="2025-06-09T00:00:00"/>
    <x v="5"/>
    <s v="Food"/>
    <x v="0"/>
    <x v="3"/>
    <n v="19"/>
    <n v="1574.74"/>
    <n v="29920.06"/>
    <x v="4"/>
    <x v="4"/>
    <n v="2"/>
    <x v="2"/>
  </r>
  <r>
    <d v="2025-07-06T00:00:00"/>
    <x v="3"/>
    <s v="Beverage"/>
    <x v="2"/>
    <x v="1"/>
    <n v="11"/>
    <n v="2139.14"/>
    <n v="23530.54"/>
    <x v="6"/>
    <x v="6"/>
    <n v="1"/>
    <x v="4"/>
  </r>
  <r>
    <d v="2025-07-13T00:00:00"/>
    <x v="5"/>
    <s v="Groceries"/>
    <x v="3"/>
    <x v="4"/>
    <n v="5"/>
    <n v="1360.67"/>
    <n v="6803.35"/>
    <x v="6"/>
    <x v="6"/>
    <n v="1"/>
    <x v="4"/>
  </r>
  <r>
    <d v="2025-09-12T00:00:00"/>
    <x v="4"/>
    <s v="Beverage"/>
    <x v="2"/>
    <x v="2"/>
    <n v="3"/>
    <n v="6345.36"/>
    <n v="19036.080000000002"/>
    <x v="7"/>
    <x v="7"/>
    <n v="6"/>
    <x v="3"/>
  </r>
  <r>
    <d v="2025-12-07T00:00:00"/>
    <x v="2"/>
    <s v="Food"/>
    <x v="1"/>
    <x v="5"/>
    <n v="14"/>
    <n v="589.58000000000004"/>
    <n v="8254.1200000000008"/>
    <x v="5"/>
    <x v="5"/>
    <n v="1"/>
    <x v="4"/>
  </r>
  <r>
    <d v="2025-08-11T00:00:00"/>
    <x v="6"/>
    <s v="Beverage"/>
    <x v="0"/>
    <x v="3"/>
    <n v="14"/>
    <n v="17175.18"/>
    <n v="240452.52"/>
    <x v="8"/>
    <x v="8"/>
    <n v="2"/>
    <x v="2"/>
  </r>
  <r>
    <d v="2025-08-24T00:00:00"/>
    <x v="4"/>
    <s v="Groceries"/>
    <x v="2"/>
    <x v="5"/>
    <n v="14"/>
    <n v="6453.21"/>
    <n v="90344.94"/>
    <x v="8"/>
    <x v="8"/>
    <n v="1"/>
    <x v="4"/>
  </r>
  <r>
    <d v="2025-01-29T00:00:00"/>
    <x v="3"/>
    <s v="Groceries"/>
    <x v="2"/>
    <x v="5"/>
    <n v="6"/>
    <n v="3121.45"/>
    <n v="18728.7"/>
    <x v="9"/>
    <x v="9"/>
    <n v="4"/>
    <x v="1"/>
  </r>
  <r>
    <d v="2025-12-06T00:00:00"/>
    <x v="1"/>
    <s v="Food"/>
    <x v="1"/>
    <x v="0"/>
    <n v="17"/>
    <n v="848.83"/>
    <n v="14430.11"/>
    <x v="5"/>
    <x v="5"/>
    <n v="7"/>
    <x v="0"/>
  </r>
  <r>
    <d v="2025-03-16T00:00:00"/>
    <x v="5"/>
    <s v="Food"/>
    <x v="1"/>
    <x v="1"/>
    <n v="6"/>
    <n v="1708.97"/>
    <n v="10253.82"/>
    <x v="10"/>
    <x v="10"/>
    <n v="1"/>
    <x v="4"/>
  </r>
  <r>
    <d v="2025-04-07T00:00:00"/>
    <x v="4"/>
    <s v="Food"/>
    <x v="0"/>
    <x v="0"/>
    <n v="13"/>
    <n v="6014.32"/>
    <n v="78186.16"/>
    <x v="0"/>
    <x v="0"/>
    <n v="2"/>
    <x v="2"/>
  </r>
  <r>
    <d v="2025-07-08T00:00:00"/>
    <x v="1"/>
    <s v="Beverage"/>
    <x v="3"/>
    <x v="0"/>
    <n v="11"/>
    <n v="729.56"/>
    <n v="8025.16"/>
    <x v="6"/>
    <x v="6"/>
    <n v="3"/>
    <x v="6"/>
  </r>
  <r>
    <d v="2025-06-29T00:00:00"/>
    <x v="0"/>
    <s v="Groceries"/>
    <x v="1"/>
    <x v="1"/>
    <n v="11"/>
    <n v="1047.8599999999999"/>
    <n v="11526.46"/>
    <x v="4"/>
    <x v="4"/>
    <n v="1"/>
    <x v="4"/>
  </r>
  <r>
    <d v="2025-06-12T00:00:00"/>
    <x v="6"/>
    <s v="Groceries"/>
    <x v="0"/>
    <x v="5"/>
    <n v="2"/>
    <n v="14069.84"/>
    <n v="28139.68"/>
    <x v="4"/>
    <x v="4"/>
    <n v="5"/>
    <x v="5"/>
  </r>
  <r>
    <d v="2025-05-31T00:00:00"/>
    <x v="9"/>
    <s v="Beverage"/>
    <x v="2"/>
    <x v="3"/>
    <n v="4"/>
    <n v="3583.67"/>
    <n v="14334.68"/>
    <x v="11"/>
    <x v="11"/>
    <n v="7"/>
    <x v="0"/>
  </r>
  <r>
    <d v="2025-08-14T00:00:00"/>
    <x v="0"/>
    <s v="Groceries"/>
    <x v="2"/>
    <x v="5"/>
    <n v="13"/>
    <n v="951.36"/>
    <n v="12367.68"/>
    <x v="8"/>
    <x v="8"/>
    <n v="5"/>
    <x v="5"/>
  </r>
  <r>
    <d v="2025-07-19T00:00:00"/>
    <x v="1"/>
    <s v="Beverage"/>
    <x v="2"/>
    <x v="3"/>
    <n v="9"/>
    <n v="819.83"/>
    <n v="7378.47"/>
    <x v="6"/>
    <x v="6"/>
    <n v="7"/>
    <x v="0"/>
  </r>
  <r>
    <d v="2025-05-08T00:00:00"/>
    <x v="4"/>
    <s v="Food"/>
    <x v="0"/>
    <x v="0"/>
    <n v="7"/>
    <n v="3727.8"/>
    <n v="26094.6"/>
    <x v="11"/>
    <x v="11"/>
    <n v="5"/>
    <x v="5"/>
  </r>
  <r>
    <d v="2025-08-16T00:00:00"/>
    <x v="7"/>
    <s v="Beverage"/>
    <x v="1"/>
    <x v="0"/>
    <n v="12"/>
    <n v="733.27"/>
    <n v="8799.24"/>
    <x v="8"/>
    <x v="8"/>
    <n v="7"/>
    <x v="0"/>
  </r>
  <r>
    <d v="2025-02-13T00:00:00"/>
    <x v="6"/>
    <s v="Food"/>
    <x v="2"/>
    <x v="0"/>
    <n v="17"/>
    <n v="12166.2"/>
    <n v="206825.4"/>
    <x v="2"/>
    <x v="2"/>
    <n v="5"/>
    <x v="5"/>
  </r>
  <r>
    <d v="2025-11-13T00:00:00"/>
    <x v="2"/>
    <s v="Groceries"/>
    <x v="3"/>
    <x v="1"/>
    <n v="17"/>
    <n v="657.16"/>
    <n v="11171.72"/>
    <x v="3"/>
    <x v="3"/>
    <n v="5"/>
    <x v="5"/>
  </r>
  <r>
    <d v="2025-07-16T00:00:00"/>
    <x v="2"/>
    <s v="Food"/>
    <x v="1"/>
    <x v="2"/>
    <n v="12"/>
    <n v="499.64"/>
    <n v="5995.68"/>
    <x v="6"/>
    <x v="6"/>
    <n v="4"/>
    <x v="1"/>
  </r>
  <r>
    <d v="2025-12-30T00:00:00"/>
    <x v="1"/>
    <s v="Groceries"/>
    <x v="3"/>
    <x v="0"/>
    <n v="16"/>
    <n v="1129.6300000000001"/>
    <n v="18074.080000000002"/>
    <x v="5"/>
    <x v="5"/>
    <n v="3"/>
    <x v="6"/>
  </r>
  <r>
    <d v="2025-10-08T00:00:00"/>
    <x v="8"/>
    <s v="Beverage"/>
    <x v="1"/>
    <x v="1"/>
    <n v="7"/>
    <n v="878.41"/>
    <n v="6148.87"/>
    <x v="1"/>
    <x v="1"/>
    <n v="4"/>
    <x v="1"/>
  </r>
  <r>
    <d v="2025-06-24T00:00:00"/>
    <x v="2"/>
    <s v="Beverage"/>
    <x v="0"/>
    <x v="3"/>
    <n v="18"/>
    <n v="688.22"/>
    <n v="12387.96"/>
    <x v="4"/>
    <x v="4"/>
    <n v="3"/>
    <x v="6"/>
  </r>
  <r>
    <d v="2025-04-12T00:00:00"/>
    <x v="6"/>
    <s v="Beverage"/>
    <x v="0"/>
    <x v="5"/>
    <n v="12"/>
    <n v="11585.1"/>
    <n v="139021.20000000001"/>
    <x v="0"/>
    <x v="0"/>
    <n v="7"/>
    <x v="0"/>
  </r>
  <r>
    <d v="2025-04-07T00:00:00"/>
    <x v="7"/>
    <s v="Food"/>
    <x v="0"/>
    <x v="0"/>
    <n v="12"/>
    <n v="834.77"/>
    <n v="10017.24"/>
    <x v="0"/>
    <x v="0"/>
    <n v="2"/>
    <x v="2"/>
  </r>
  <r>
    <d v="2025-01-04T00:00:00"/>
    <x v="9"/>
    <s v="Food"/>
    <x v="2"/>
    <x v="0"/>
    <n v="1"/>
    <n v="4310.55"/>
    <n v="4310.55"/>
    <x v="9"/>
    <x v="9"/>
    <n v="7"/>
    <x v="0"/>
  </r>
  <r>
    <d v="2025-04-17T00:00:00"/>
    <x v="3"/>
    <s v="Groceries"/>
    <x v="0"/>
    <x v="0"/>
    <n v="2"/>
    <n v="1781.9"/>
    <n v="3563.8"/>
    <x v="0"/>
    <x v="0"/>
    <n v="5"/>
    <x v="5"/>
  </r>
  <r>
    <d v="2025-09-03T00:00:00"/>
    <x v="3"/>
    <s v="Groceries"/>
    <x v="0"/>
    <x v="2"/>
    <n v="17"/>
    <n v="2352.9"/>
    <n v="39999.300000000003"/>
    <x v="7"/>
    <x v="7"/>
    <n v="4"/>
    <x v="1"/>
  </r>
  <r>
    <d v="2025-09-01T00:00:00"/>
    <x v="4"/>
    <s v="Groceries"/>
    <x v="2"/>
    <x v="0"/>
    <n v="7"/>
    <n v="5067.5600000000004"/>
    <n v="35472.92"/>
    <x v="7"/>
    <x v="7"/>
    <n v="2"/>
    <x v="2"/>
  </r>
  <r>
    <d v="2025-03-05T00:00:00"/>
    <x v="6"/>
    <s v="Groceries"/>
    <x v="2"/>
    <x v="0"/>
    <n v="4"/>
    <n v="16939.98"/>
    <n v="67759.92"/>
    <x v="10"/>
    <x v="10"/>
    <n v="4"/>
    <x v="1"/>
  </r>
  <r>
    <d v="2025-10-19T00:00:00"/>
    <x v="4"/>
    <s v="Food"/>
    <x v="2"/>
    <x v="3"/>
    <n v="15"/>
    <n v="4652.9799999999996"/>
    <n v="69794.7"/>
    <x v="1"/>
    <x v="1"/>
    <n v="1"/>
    <x v="4"/>
  </r>
  <r>
    <d v="2025-12-09T00:00:00"/>
    <x v="0"/>
    <s v="Groceries"/>
    <x v="1"/>
    <x v="1"/>
    <n v="5"/>
    <n v="904.38"/>
    <n v="4521.8999999999996"/>
    <x v="5"/>
    <x v="5"/>
    <n v="3"/>
    <x v="6"/>
  </r>
  <r>
    <d v="2025-07-16T00:00:00"/>
    <x v="5"/>
    <s v="Groceries"/>
    <x v="1"/>
    <x v="5"/>
    <n v="13"/>
    <n v="1940.27"/>
    <n v="25223.51"/>
    <x v="6"/>
    <x v="6"/>
    <n v="4"/>
    <x v="1"/>
  </r>
  <r>
    <d v="2025-07-17T00:00:00"/>
    <x v="0"/>
    <s v="Groceries"/>
    <x v="3"/>
    <x v="4"/>
    <n v="19"/>
    <n v="1209.1400000000001"/>
    <n v="22973.66"/>
    <x v="6"/>
    <x v="6"/>
    <n v="5"/>
    <x v="5"/>
  </r>
  <r>
    <d v="2025-11-25T00:00:00"/>
    <x v="3"/>
    <s v="Food"/>
    <x v="1"/>
    <x v="2"/>
    <n v="17"/>
    <n v="3185.91"/>
    <n v="54160.47"/>
    <x v="3"/>
    <x v="3"/>
    <n v="3"/>
    <x v="6"/>
  </r>
  <r>
    <d v="2025-09-18T00:00:00"/>
    <x v="8"/>
    <s v="Food"/>
    <x v="1"/>
    <x v="2"/>
    <n v="9"/>
    <n v="1256.6500000000001"/>
    <n v="11309.85"/>
    <x v="7"/>
    <x v="7"/>
    <n v="5"/>
    <x v="5"/>
  </r>
  <r>
    <d v="2025-08-28T00:00:00"/>
    <x v="1"/>
    <s v="Groceries"/>
    <x v="1"/>
    <x v="0"/>
    <n v="17"/>
    <n v="713.1"/>
    <n v="12122.7"/>
    <x v="8"/>
    <x v="8"/>
    <n v="5"/>
    <x v="5"/>
  </r>
  <r>
    <d v="2025-06-08T00:00:00"/>
    <x v="7"/>
    <s v="Beverage"/>
    <x v="2"/>
    <x v="1"/>
    <n v="15"/>
    <n v="576.74"/>
    <n v="8651.1"/>
    <x v="4"/>
    <x v="4"/>
    <n v="1"/>
    <x v="4"/>
  </r>
  <r>
    <d v="2025-03-08T00:00:00"/>
    <x v="8"/>
    <s v="Beverage"/>
    <x v="0"/>
    <x v="3"/>
    <n v="3"/>
    <n v="863.78"/>
    <n v="2591.34"/>
    <x v="10"/>
    <x v="10"/>
    <n v="7"/>
    <x v="0"/>
  </r>
  <r>
    <d v="2025-01-29T00:00:00"/>
    <x v="4"/>
    <s v="Groceries"/>
    <x v="2"/>
    <x v="0"/>
    <n v="12"/>
    <n v="3606.27"/>
    <n v="43275.24"/>
    <x v="9"/>
    <x v="9"/>
    <n v="4"/>
    <x v="1"/>
  </r>
  <r>
    <d v="2025-02-09T00:00:00"/>
    <x v="4"/>
    <s v="Food"/>
    <x v="0"/>
    <x v="5"/>
    <n v="2"/>
    <n v="4725.3599999999997"/>
    <n v="9450.7199999999993"/>
    <x v="2"/>
    <x v="2"/>
    <n v="1"/>
    <x v="4"/>
  </r>
  <r>
    <d v="2025-02-07T00:00:00"/>
    <x v="2"/>
    <s v="Groceries"/>
    <x v="2"/>
    <x v="0"/>
    <n v="18"/>
    <n v="449.18"/>
    <n v="8085.24"/>
    <x v="2"/>
    <x v="2"/>
    <n v="6"/>
    <x v="3"/>
  </r>
  <r>
    <d v="2025-11-11T00:00:00"/>
    <x v="8"/>
    <s v="Food"/>
    <x v="2"/>
    <x v="0"/>
    <n v="8"/>
    <n v="1229.74"/>
    <n v="9837.92"/>
    <x v="3"/>
    <x v="3"/>
    <n v="3"/>
    <x v="6"/>
  </r>
  <r>
    <d v="2025-11-13T00:00:00"/>
    <x v="7"/>
    <s v="Beverage"/>
    <x v="0"/>
    <x v="0"/>
    <n v="8"/>
    <n v="831.55"/>
    <n v="6652.4"/>
    <x v="3"/>
    <x v="3"/>
    <n v="5"/>
    <x v="5"/>
  </r>
  <r>
    <d v="2025-08-24T00:00:00"/>
    <x v="6"/>
    <s v="Beverage"/>
    <x v="3"/>
    <x v="5"/>
    <n v="16"/>
    <n v="16426.07"/>
    <n v="262817.12"/>
    <x v="8"/>
    <x v="8"/>
    <n v="1"/>
    <x v="4"/>
  </r>
  <r>
    <d v="2025-12-18T00:00:00"/>
    <x v="4"/>
    <s v="Food"/>
    <x v="0"/>
    <x v="3"/>
    <n v="10"/>
    <n v="3817.5"/>
    <n v="38175"/>
    <x v="5"/>
    <x v="5"/>
    <n v="5"/>
    <x v="5"/>
  </r>
  <r>
    <d v="2025-06-03T00:00:00"/>
    <x v="9"/>
    <s v="Groceries"/>
    <x v="2"/>
    <x v="5"/>
    <n v="13"/>
    <n v="4280.87"/>
    <n v="55651.31"/>
    <x v="4"/>
    <x v="4"/>
    <n v="3"/>
    <x v="6"/>
  </r>
  <r>
    <d v="2025-01-31T00:00:00"/>
    <x v="5"/>
    <s v="Beverage"/>
    <x v="1"/>
    <x v="5"/>
    <n v="7"/>
    <n v="1194.68"/>
    <n v="8362.76"/>
    <x v="9"/>
    <x v="9"/>
    <n v="6"/>
    <x v="3"/>
  </r>
  <r>
    <d v="2025-12-21T00:00:00"/>
    <x v="3"/>
    <s v="Beverage"/>
    <x v="2"/>
    <x v="1"/>
    <n v="12"/>
    <n v="1759.58"/>
    <n v="21114.959999999999"/>
    <x v="5"/>
    <x v="5"/>
    <n v="1"/>
    <x v="4"/>
  </r>
  <r>
    <d v="2025-08-11T00:00:00"/>
    <x v="6"/>
    <s v="Food"/>
    <x v="2"/>
    <x v="0"/>
    <n v="13"/>
    <n v="17518.61"/>
    <n v="227741.93"/>
    <x v="8"/>
    <x v="8"/>
    <n v="2"/>
    <x v="2"/>
  </r>
  <r>
    <d v="2025-11-21T00:00:00"/>
    <x v="7"/>
    <s v="Beverage"/>
    <x v="0"/>
    <x v="0"/>
    <n v="9"/>
    <n v="1022.24"/>
    <n v="9200.16"/>
    <x v="3"/>
    <x v="3"/>
    <n v="6"/>
    <x v="3"/>
  </r>
  <r>
    <d v="2025-11-14T00:00:00"/>
    <x v="8"/>
    <s v="Food"/>
    <x v="1"/>
    <x v="2"/>
    <n v="4"/>
    <n v="740.7"/>
    <n v="2962.8"/>
    <x v="3"/>
    <x v="3"/>
    <n v="6"/>
    <x v="3"/>
  </r>
  <r>
    <d v="2025-08-06T00:00:00"/>
    <x v="6"/>
    <s v="Beverage"/>
    <x v="2"/>
    <x v="0"/>
    <n v="1"/>
    <n v="11021.28"/>
    <n v="11021.28"/>
    <x v="8"/>
    <x v="8"/>
    <n v="4"/>
    <x v="1"/>
  </r>
  <r>
    <d v="2025-04-29T00:00:00"/>
    <x v="3"/>
    <s v="Beverage"/>
    <x v="1"/>
    <x v="1"/>
    <n v="12"/>
    <n v="2874.48"/>
    <n v="34493.760000000002"/>
    <x v="0"/>
    <x v="0"/>
    <n v="3"/>
    <x v="6"/>
  </r>
  <r>
    <d v="2025-08-14T00:00:00"/>
    <x v="0"/>
    <s v="Food"/>
    <x v="3"/>
    <x v="1"/>
    <n v="11"/>
    <n v="1431.49"/>
    <n v="15746.39"/>
    <x v="8"/>
    <x v="8"/>
    <n v="5"/>
    <x v="5"/>
  </r>
  <r>
    <d v="2025-03-19T00:00:00"/>
    <x v="7"/>
    <s v="Groceries"/>
    <x v="1"/>
    <x v="0"/>
    <n v="2"/>
    <n v="691.34"/>
    <n v="1382.68"/>
    <x v="10"/>
    <x v="10"/>
    <n v="4"/>
    <x v="1"/>
  </r>
  <r>
    <d v="2025-10-11T00:00:00"/>
    <x v="0"/>
    <s v="Food"/>
    <x v="0"/>
    <x v="3"/>
    <n v="9"/>
    <n v="957.81"/>
    <n v="8620.2900000000009"/>
    <x v="1"/>
    <x v="1"/>
    <n v="7"/>
    <x v="0"/>
  </r>
  <r>
    <d v="2025-10-11T00:00:00"/>
    <x v="0"/>
    <s v="Beverage"/>
    <x v="0"/>
    <x v="2"/>
    <n v="11"/>
    <n v="1036.75"/>
    <n v="11404.25"/>
    <x v="1"/>
    <x v="1"/>
    <n v="7"/>
    <x v="0"/>
  </r>
  <r>
    <d v="2025-12-02T00:00:00"/>
    <x v="2"/>
    <s v="Food"/>
    <x v="2"/>
    <x v="1"/>
    <n v="6"/>
    <n v="693.63"/>
    <n v="4161.78"/>
    <x v="5"/>
    <x v="5"/>
    <n v="3"/>
    <x v="6"/>
  </r>
  <r>
    <d v="2025-09-13T00:00:00"/>
    <x v="1"/>
    <s v="Beverage"/>
    <x v="0"/>
    <x v="0"/>
    <n v="3"/>
    <n v="646.80999999999995"/>
    <n v="1940.43"/>
    <x v="7"/>
    <x v="7"/>
    <n v="7"/>
    <x v="0"/>
  </r>
  <r>
    <d v="2025-10-07T00:00:00"/>
    <x v="2"/>
    <s v="Beverage"/>
    <x v="0"/>
    <x v="2"/>
    <n v="16"/>
    <n v="615.55999999999995"/>
    <n v="9848.9599999999991"/>
    <x v="1"/>
    <x v="1"/>
    <n v="3"/>
    <x v="6"/>
  </r>
  <r>
    <d v="2025-02-28T00:00:00"/>
    <x v="4"/>
    <s v="Food"/>
    <x v="2"/>
    <x v="1"/>
    <n v="8"/>
    <n v="5812.77"/>
    <n v="46502.16"/>
    <x v="2"/>
    <x v="2"/>
    <n v="6"/>
    <x v="3"/>
  </r>
  <r>
    <d v="2025-06-22T00:00:00"/>
    <x v="3"/>
    <s v="Groceries"/>
    <x v="0"/>
    <x v="3"/>
    <n v="12"/>
    <n v="1798.79"/>
    <n v="21585.48"/>
    <x v="4"/>
    <x v="4"/>
    <n v="1"/>
    <x v="4"/>
  </r>
  <r>
    <d v="2025-11-11T00:00:00"/>
    <x v="1"/>
    <s v="Groceries"/>
    <x v="3"/>
    <x v="1"/>
    <n v="14"/>
    <n v="953.1"/>
    <n v="13343.4"/>
    <x v="3"/>
    <x v="3"/>
    <n v="3"/>
    <x v="6"/>
  </r>
  <r>
    <d v="2025-08-23T00:00:00"/>
    <x v="0"/>
    <s v="Food"/>
    <x v="1"/>
    <x v="2"/>
    <n v="2"/>
    <n v="1414.24"/>
    <n v="2828.48"/>
    <x v="8"/>
    <x v="8"/>
    <n v="7"/>
    <x v="0"/>
  </r>
  <r>
    <d v="2025-03-04T00:00:00"/>
    <x v="6"/>
    <s v="Food"/>
    <x v="1"/>
    <x v="0"/>
    <n v="14"/>
    <n v="19272.3"/>
    <n v="269812.2"/>
    <x v="10"/>
    <x v="10"/>
    <n v="3"/>
    <x v="6"/>
  </r>
  <r>
    <d v="2025-06-14T00:00:00"/>
    <x v="4"/>
    <s v="Food"/>
    <x v="3"/>
    <x v="1"/>
    <n v="8"/>
    <n v="5672.86"/>
    <n v="45382.879999999997"/>
    <x v="4"/>
    <x v="4"/>
    <n v="7"/>
    <x v="0"/>
  </r>
  <r>
    <d v="2025-06-27T00:00:00"/>
    <x v="2"/>
    <s v="Food"/>
    <x v="2"/>
    <x v="2"/>
    <n v="14"/>
    <n v="471.3"/>
    <n v="6598.2"/>
    <x v="4"/>
    <x v="4"/>
    <n v="6"/>
    <x v="3"/>
  </r>
  <r>
    <d v="2025-03-20T00:00:00"/>
    <x v="9"/>
    <s v="Beverage"/>
    <x v="3"/>
    <x v="4"/>
    <n v="1"/>
    <n v="3625.26"/>
    <n v="3625.26"/>
    <x v="10"/>
    <x v="10"/>
    <n v="5"/>
    <x v="5"/>
  </r>
  <r>
    <d v="2025-08-29T00:00:00"/>
    <x v="6"/>
    <s v="Beverage"/>
    <x v="2"/>
    <x v="3"/>
    <n v="9"/>
    <n v="13655.64"/>
    <n v="122900.76"/>
    <x v="8"/>
    <x v="8"/>
    <n v="6"/>
    <x v="3"/>
  </r>
  <r>
    <d v="2025-03-17T00:00:00"/>
    <x v="0"/>
    <s v="Beverage"/>
    <x v="1"/>
    <x v="0"/>
    <n v="6"/>
    <n v="1248.6300000000001"/>
    <n v="7491.78"/>
    <x v="10"/>
    <x v="10"/>
    <n v="2"/>
    <x v="2"/>
  </r>
  <r>
    <d v="2025-06-22T00:00:00"/>
    <x v="1"/>
    <s v="Beverage"/>
    <x v="0"/>
    <x v="0"/>
    <n v="10"/>
    <n v="720.44"/>
    <n v="7204.4"/>
    <x v="4"/>
    <x v="4"/>
    <n v="1"/>
    <x v="4"/>
  </r>
  <r>
    <d v="2025-10-31T00:00:00"/>
    <x v="2"/>
    <s v="Groceries"/>
    <x v="2"/>
    <x v="5"/>
    <n v="6"/>
    <n v="634.12"/>
    <n v="3804.72"/>
    <x v="1"/>
    <x v="1"/>
    <n v="6"/>
    <x v="3"/>
  </r>
  <r>
    <d v="2025-03-13T00:00:00"/>
    <x v="5"/>
    <s v="Groceries"/>
    <x v="3"/>
    <x v="1"/>
    <n v="18"/>
    <n v="1891.68"/>
    <n v="34050.239999999998"/>
    <x v="10"/>
    <x v="10"/>
    <n v="5"/>
    <x v="5"/>
  </r>
  <r>
    <d v="2025-11-23T00:00:00"/>
    <x v="3"/>
    <s v="Beverage"/>
    <x v="3"/>
    <x v="5"/>
    <n v="7"/>
    <n v="2741.23"/>
    <n v="19188.61"/>
    <x v="3"/>
    <x v="3"/>
    <n v="1"/>
    <x v="4"/>
  </r>
  <r>
    <d v="2025-07-26T00:00:00"/>
    <x v="0"/>
    <s v="Beverage"/>
    <x v="1"/>
    <x v="0"/>
    <n v="3"/>
    <n v="869.34"/>
    <n v="2608.02"/>
    <x v="6"/>
    <x v="6"/>
    <n v="7"/>
    <x v="0"/>
  </r>
  <r>
    <d v="2025-07-06T00:00:00"/>
    <x v="1"/>
    <s v="Beverage"/>
    <x v="0"/>
    <x v="0"/>
    <n v="12"/>
    <n v="763.44"/>
    <n v="9161.2800000000007"/>
    <x v="6"/>
    <x v="6"/>
    <n v="1"/>
    <x v="4"/>
  </r>
  <r>
    <d v="2025-01-25T00:00:00"/>
    <x v="7"/>
    <s v="Beverage"/>
    <x v="0"/>
    <x v="2"/>
    <n v="13"/>
    <n v="647.41999999999996"/>
    <n v="8416.4599999999991"/>
    <x v="9"/>
    <x v="9"/>
    <n v="7"/>
    <x v="0"/>
  </r>
  <r>
    <d v="2025-04-28T00:00:00"/>
    <x v="8"/>
    <s v="Groceries"/>
    <x v="3"/>
    <x v="5"/>
    <n v="12"/>
    <n v="1033.22"/>
    <n v="12398.64"/>
    <x v="0"/>
    <x v="0"/>
    <n v="2"/>
    <x v="2"/>
  </r>
  <r>
    <d v="2025-07-29T00:00:00"/>
    <x v="9"/>
    <s v="Food"/>
    <x v="3"/>
    <x v="1"/>
    <n v="3"/>
    <n v="2621.21"/>
    <n v="7863.63"/>
    <x v="6"/>
    <x v="6"/>
    <n v="3"/>
    <x v="6"/>
  </r>
  <r>
    <d v="2025-08-30T00:00:00"/>
    <x v="7"/>
    <s v="Food"/>
    <x v="2"/>
    <x v="3"/>
    <n v="7"/>
    <n v="782.06"/>
    <n v="5474.42"/>
    <x v="8"/>
    <x v="8"/>
    <n v="7"/>
    <x v="0"/>
  </r>
  <r>
    <d v="2025-12-15T00:00:00"/>
    <x v="8"/>
    <s v="Groceries"/>
    <x v="1"/>
    <x v="1"/>
    <n v="5"/>
    <n v="907.56"/>
    <n v="4537.8"/>
    <x v="5"/>
    <x v="5"/>
    <n v="2"/>
    <x v="2"/>
  </r>
  <r>
    <d v="2025-12-29T00:00:00"/>
    <x v="0"/>
    <s v="Beverage"/>
    <x v="2"/>
    <x v="5"/>
    <n v="9"/>
    <n v="1155.8"/>
    <n v="10402.200000000001"/>
    <x v="5"/>
    <x v="5"/>
    <n v="2"/>
    <x v="2"/>
  </r>
  <r>
    <d v="2025-04-26T00:00:00"/>
    <x v="3"/>
    <s v="Beverage"/>
    <x v="0"/>
    <x v="0"/>
    <n v="4"/>
    <n v="2382.58"/>
    <n v="9530.32"/>
    <x v="0"/>
    <x v="0"/>
    <n v="7"/>
    <x v="0"/>
  </r>
  <r>
    <d v="2025-08-30T00:00:00"/>
    <x v="7"/>
    <s v="Beverage"/>
    <x v="1"/>
    <x v="1"/>
    <n v="12"/>
    <n v="744.25"/>
    <n v="8931"/>
    <x v="8"/>
    <x v="8"/>
    <n v="7"/>
    <x v="0"/>
  </r>
  <r>
    <d v="2025-01-18T00:00:00"/>
    <x v="2"/>
    <s v="Food"/>
    <x v="0"/>
    <x v="3"/>
    <n v="3"/>
    <n v="699.36"/>
    <n v="2098.08"/>
    <x v="9"/>
    <x v="9"/>
    <n v="7"/>
    <x v="0"/>
  </r>
  <r>
    <d v="2025-04-09T00:00:00"/>
    <x v="5"/>
    <s v="Beverage"/>
    <x v="3"/>
    <x v="0"/>
    <n v="5"/>
    <n v="1818.95"/>
    <n v="9094.75"/>
    <x v="0"/>
    <x v="0"/>
    <n v="4"/>
    <x v="1"/>
  </r>
  <r>
    <d v="2025-02-10T00:00:00"/>
    <x v="9"/>
    <s v="Food"/>
    <x v="0"/>
    <x v="3"/>
    <n v="2"/>
    <n v="2650.05"/>
    <n v="5300.1"/>
    <x v="2"/>
    <x v="2"/>
    <n v="2"/>
    <x v="2"/>
  </r>
  <r>
    <d v="2025-05-24T00:00:00"/>
    <x v="4"/>
    <s v="Food"/>
    <x v="3"/>
    <x v="0"/>
    <n v="3"/>
    <n v="5470.21"/>
    <n v="16410.63"/>
    <x v="11"/>
    <x v="11"/>
    <n v="7"/>
    <x v="0"/>
  </r>
  <r>
    <d v="2025-06-12T00:00:00"/>
    <x v="5"/>
    <s v="Groceries"/>
    <x v="0"/>
    <x v="5"/>
    <n v="10"/>
    <n v="1116.1500000000001"/>
    <n v="11161.5"/>
    <x v="4"/>
    <x v="4"/>
    <n v="5"/>
    <x v="5"/>
  </r>
  <r>
    <d v="2025-09-26T00:00:00"/>
    <x v="1"/>
    <s v="Food"/>
    <x v="1"/>
    <x v="2"/>
    <n v="9"/>
    <n v="862.68"/>
    <n v="7764.12"/>
    <x v="7"/>
    <x v="7"/>
    <n v="6"/>
    <x v="3"/>
  </r>
  <r>
    <d v="2025-10-02T00:00:00"/>
    <x v="2"/>
    <s v="Groceries"/>
    <x v="3"/>
    <x v="1"/>
    <n v="11"/>
    <n v="685.1"/>
    <n v="7536.1"/>
    <x v="1"/>
    <x v="1"/>
    <n v="5"/>
    <x v="5"/>
  </r>
  <r>
    <d v="2025-07-22T00:00:00"/>
    <x v="8"/>
    <s v="Food"/>
    <x v="2"/>
    <x v="2"/>
    <n v="15"/>
    <n v="1220.96"/>
    <n v="18314.400000000001"/>
    <x v="6"/>
    <x v="6"/>
    <n v="3"/>
    <x v="6"/>
  </r>
  <r>
    <d v="2025-04-17T00:00:00"/>
    <x v="0"/>
    <s v="Beverage"/>
    <x v="1"/>
    <x v="0"/>
    <n v="9"/>
    <n v="1222.44"/>
    <n v="11001.96"/>
    <x v="0"/>
    <x v="0"/>
    <n v="5"/>
    <x v="5"/>
  </r>
  <r>
    <d v="2025-01-20T00:00:00"/>
    <x v="1"/>
    <s v="Food"/>
    <x v="2"/>
    <x v="5"/>
    <n v="6"/>
    <n v="727.21"/>
    <n v="4363.26"/>
    <x v="9"/>
    <x v="9"/>
    <n v="2"/>
    <x v="2"/>
  </r>
  <r>
    <d v="2025-02-28T00:00:00"/>
    <x v="8"/>
    <s v="Food"/>
    <x v="2"/>
    <x v="5"/>
    <n v="14"/>
    <n v="1112.92"/>
    <n v="15580.88"/>
    <x v="2"/>
    <x v="2"/>
    <n v="6"/>
    <x v="3"/>
  </r>
  <r>
    <d v="2025-10-02T00:00:00"/>
    <x v="8"/>
    <s v="Beverage"/>
    <x v="3"/>
    <x v="5"/>
    <n v="11"/>
    <n v="710.43"/>
    <n v="7814.73"/>
    <x v="1"/>
    <x v="1"/>
    <n v="5"/>
    <x v="5"/>
  </r>
  <r>
    <d v="2025-08-04T00:00:00"/>
    <x v="3"/>
    <s v="Food"/>
    <x v="2"/>
    <x v="5"/>
    <n v="18"/>
    <n v="2263.98"/>
    <n v="40751.64"/>
    <x v="8"/>
    <x v="8"/>
    <n v="2"/>
    <x v="2"/>
  </r>
  <r>
    <d v="2025-10-20T00:00:00"/>
    <x v="0"/>
    <s v="Groceries"/>
    <x v="3"/>
    <x v="1"/>
    <n v="16"/>
    <n v="1516.67"/>
    <n v="24266.720000000001"/>
    <x v="1"/>
    <x v="1"/>
    <n v="2"/>
    <x v="2"/>
  </r>
  <r>
    <d v="2025-01-08T00:00:00"/>
    <x v="3"/>
    <s v="Food"/>
    <x v="2"/>
    <x v="1"/>
    <n v="6"/>
    <n v="3052.21"/>
    <n v="18313.259999999998"/>
    <x v="9"/>
    <x v="9"/>
    <n v="4"/>
    <x v="1"/>
  </r>
  <r>
    <d v="2025-03-26T00:00:00"/>
    <x v="3"/>
    <s v="Food"/>
    <x v="0"/>
    <x v="0"/>
    <n v="11"/>
    <n v="2774.87"/>
    <n v="30523.57"/>
    <x v="10"/>
    <x v="10"/>
    <n v="4"/>
    <x v="1"/>
  </r>
  <r>
    <d v="2025-04-23T00:00:00"/>
    <x v="3"/>
    <s v="Food"/>
    <x v="1"/>
    <x v="2"/>
    <n v="12"/>
    <n v="1919.66"/>
    <n v="23035.919999999998"/>
    <x v="0"/>
    <x v="0"/>
    <n v="4"/>
    <x v="1"/>
  </r>
  <r>
    <d v="2025-12-10T00:00:00"/>
    <x v="0"/>
    <s v="Food"/>
    <x v="2"/>
    <x v="5"/>
    <n v="16"/>
    <n v="1435.32"/>
    <n v="22965.119999999999"/>
    <x v="5"/>
    <x v="5"/>
    <n v="4"/>
    <x v="1"/>
  </r>
  <r>
    <d v="2025-10-30T00:00:00"/>
    <x v="8"/>
    <s v="Food"/>
    <x v="1"/>
    <x v="2"/>
    <n v="2"/>
    <n v="1299.6500000000001"/>
    <n v="2599.3000000000002"/>
    <x v="1"/>
    <x v="1"/>
    <n v="5"/>
    <x v="5"/>
  </r>
  <r>
    <d v="2025-03-03T00:00:00"/>
    <x v="4"/>
    <s v="Food"/>
    <x v="2"/>
    <x v="3"/>
    <n v="16"/>
    <n v="5757.28"/>
    <n v="92116.479999999996"/>
    <x v="10"/>
    <x v="10"/>
    <n v="2"/>
    <x v="2"/>
  </r>
  <r>
    <d v="2025-09-01T00:00:00"/>
    <x v="4"/>
    <s v="Groceries"/>
    <x v="3"/>
    <x v="0"/>
    <n v="6"/>
    <n v="4481.1000000000004"/>
    <n v="26886.6"/>
    <x v="7"/>
    <x v="7"/>
    <n v="2"/>
    <x v="2"/>
  </r>
  <r>
    <d v="2025-04-11T00:00:00"/>
    <x v="7"/>
    <s v="Beverage"/>
    <x v="1"/>
    <x v="0"/>
    <n v="13"/>
    <n v="942.95"/>
    <n v="12258.35"/>
    <x v="0"/>
    <x v="0"/>
    <n v="6"/>
    <x v="3"/>
  </r>
  <r>
    <d v="2025-12-04T00:00:00"/>
    <x v="6"/>
    <s v="Beverage"/>
    <x v="1"/>
    <x v="2"/>
    <n v="15"/>
    <n v="16171.88"/>
    <n v="242578.2"/>
    <x v="5"/>
    <x v="5"/>
    <n v="5"/>
    <x v="5"/>
  </r>
  <r>
    <d v="2025-07-17T00:00:00"/>
    <x v="8"/>
    <s v="Groceries"/>
    <x v="3"/>
    <x v="1"/>
    <n v="1"/>
    <n v="842.53"/>
    <n v="842.53"/>
    <x v="6"/>
    <x v="6"/>
    <n v="5"/>
    <x v="5"/>
  </r>
  <r>
    <d v="2025-10-17T00:00:00"/>
    <x v="9"/>
    <s v="Beverage"/>
    <x v="0"/>
    <x v="5"/>
    <n v="8"/>
    <n v="3853.25"/>
    <n v="30826"/>
    <x v="1"/>
    <x v="1"/>
    <n v="6"/>
    <x v="3"/>
  </r>
  <r>
    <d v="2025-11-25T00:00:00"/>
    <x v="3"/>
    <s v="Beverage"/>
    <x v="2"/>
    <x v="5"/>
    <n v="8"/>
    <n v="2528.62"/>
    <n v="20228.96"/>
    <x v="3"/>
    <x v="3"/>
    <n v="3"/>
    <x v="6"/>
  </r>
  <r>
    <d v="2025-04-26T00:00:00"/>
    <x v="1"/>
    <s v="Food"/>
    <x v="3"/>
    <x v="1"/>
    <n v="2"/>
    <n v="914.38"/>
    <n v="1828.76"/>
    <x v="0"/>
    <x v="0"/>
    <n v="7"/>
    <x v="0"/>
  </r>
  <r>
    <d v="2025-10-26T00:00:00"/>
    <x v="0"/>
    <s v="Groceries"/>
    <x v="0"/>
    <x v="0"/>
    <n v="12"/>
    <n v="1527.98"/>
    <n v="18335.759999999998"/>
    <x v="1"/>
    <x v="1"/>
    <n v="1"/>
    <x v="4"/>
  </r>
  <r>
    <d v="2025-01-21T00:00:00"/>
    <x v="5"/>
    <s v="Groceries"/>
    <x v="0"/>
    <x v="3"/>
    <n v="15"/>
    <n v="1269.1300000000001"/>
    <n v="19036.95"/>
    <x v="9"/>
    <x v="9"/>
    <n v="3"/>
    <x v="6"/>
  </r>
  <r>
    <d v="2025-07-21T00:00:00"/>
    <x v="7"/>
    <s v="Groceries"/>
    <x v="3"/>
    <x v="1"/>
    <n v="13"/>
    <n v="728.78"/>
    <n v="9474.14"/>
    <x v="6"/>
    <x v="6"/>
    <n v="2"/>
    <x v="2"/>
  </r>
  <r>
    <d v="2025-10-16T00:00:00"/>
    <x v="0"/>
    <s v="Food"/>
    <x v="3"/>
    <x v="5"/>
    <n v="15"/>
    <n v="1223.23"/>
    <n v="18348.45"/>
    <x v="1"/>
    <x v="1"/>
    <n v="5"/>
    <x v="5"/>
  </r>
  <r>
    <d v="2025-05-15T00:00:00"/>
    <x v="1"/>
    <s v="Beverage"/>
    <x v="1"/>
    <x v="0"/>
    <n v="17"/>
    <n v="1157.43"/>
    <n v="19676.310000000001"/>
    <x v="11"/>
    <x v="11"/>
    <n v="5"/>
    <x v="5"/>
  </r>
  <r>
    <d v="2025-03-30T00:00:00"/>
    <x v="4"/>
    <s v="Beverage"/>
    <x v="0"/>
    <x v="2"/>
    <n v="10"/>
    <n v="5899.34"/>
    <n v="58993.4"/>
    <x v="10"/>
    <x v="10"/>
    <n v="1"/>
    <x v="4"/>
  </r>
  <r>
    <d v="2025-06-07T00:00:00"/>
    <x v="5"/>
    <s v="Groceries"/>
    <x v="3"/>
    <x v="1"/>
    <n v="10"/>
    <n v="1216.71"/>
    <n v="12167.1"/>
    <x v="4"/>
    <x v="4"/>
    <n v="7"/>
    <x v="0"/>
  </r>
  <r>
    <d v="2025-02-05T00:00:00"/>
    <x v="0"/>
    <s v="Beverage"/>
    <x v="0"/>
    <x v="3"/>
    <n v="12"/>
    <n v="871.26"/>
    <n v="10455.120000000001"/>
    <x v="2"/>
    <x v="2"/>
    <n v="4"/>
    <x v="1"/>
  </r>
  <r>
    <d v="2025-12-27T00:00:00"/>
    <x v="5"/>
    <s v="Beverage"/>
    <x v="1"/>
    <x v="1"/>
    <n v="9"/>
    <n v="1764.37"/>
    <n v="15879.33"/>
    <x v="5"/>
    <x v="5"/>
    <n v="7"/>
    <x v="0"/>
  </r>
  <r>
    <d v="2025-09-27T00:00:00"/>
    <x v="1"/>
    <s v="Beverage"/>
    <x v="2"/>
    <x v="1"/>
    <n v="10"/>
    <n v="1116.01"/>
    <n v="11160.1"/>
    <x v="7"/>
    <x v="7"/>
    <n v="7"/>
    <x v="0"/>
  </r>
  <r>
    <d v="2025-07-26T00:00:00"/>
    <x v="6"/>
    <s v="Beverage"/>
    <x v="0"/>
    <x v="3"/>
    <n v="4"/>
    <n v="12973.25"/>
    <n v="51893"/>
    <x v="6"/>
    <x v="6"/>
    <n v="7"/>
    <x v="0"/>
  </r>
  <r>
    <d v="2025-01-19T00:00:00"/>
    <x v="0"/>
    <s v="Groceries"/>
    <x v="1"/>
    <x v="2"/>
    <n v="18"/>
    <n v="1391.99"/>
    <n v="25055.82"/>
    <x v="9"/>
    <x v="9"/>
    <n v="1"/>
    <x v="4"/>
  </r>
  <r>
    <d v="2025-08-29T00:00:00"/>
    <x v="8"/>
    <s v="Groceries"/>
    <x v="2"/>
    <x v="5"/>
    <n v="12"/>
    <n v="1217.68"/>
    <n v="14612.16"/>
    <x v="8"/>
    <x v="8"/>
    <n v="6"/>
    <x v="3"/>
  </r>
  <r>
    <d v="2025-04-28T00:00:00"/>
    <x v="8"/>
    <s v="Food"/>
    <x v="1"/>
    <x v="1"/>
    <n v="15"/>
    <n v="838.15"/>
    <n v="12572.25"/>
    <x v="0"/>
    <x v="0"/>
    <n v="2"/>
    <x v="2"/>
  </r>
  <r>
    <d v="2025-06-08T00:00:00"/>
    <x v="1"/>
    <s v="Food"/>
    <x v="1"/>
    <x v="1"/>
    <n v="2"/>
    <n v="778.25"/>
    <n v="1556.5"/>
    <x v="4"/>
    <x v="4"/>
    <n v="1"/>
    <x v="4"/>
  </r>
  <r>
    <d v="2025-09-19T00:00:00"/>
    <x v="8"/>
    <s v="Beverage"/>
    <x v="0"/>
    <x v="0"/>
    <n v="7"/>
    <n v="1134.71"/>
    <n v="7942.97"/>
    <x v="7"/>
    <x v="7"/>
    <n v="6"/>
    <x v="3"/>
  </r>
  <r>
    <d v="2025-10-06T00:00:00"/>
    <x v="7"/>
    <s v="Beverage"/>
    <x v="1"/>
    <x v="0"/>
    <n v="7"/>
    <n v="930.86"/>
    <n v="6516.02"/>
    <x v="1"/>
    <x v="1"/>
    <n v="2"/>
    <x v="2"/>
  </r>
  <r>
    <d v="2025-02-05T00:00:00"/>
    <x v="2"/>
    <s v="Food"/>
    <x v="2"/>
    <x v="2"/>
    <n v="3"/>
    <n v="564.42999999999995"/>
    <n v="1693.29"/>
    <x v="2"/>
    <x v="2"/>
    <n v="4"/>
    <x v="1"/>
  </r>
  <r>
    <d v="2025-12-18T00:00:00"/>
    <x v="9"/>
    <s v="Food"/>
    <x v="0"/>
    <x v="2"/>
    <n v="13"/>
    <n v="3540.03"/>
    <n v="46020.39"/>
    <x v="5"/>
    <x v="5"/>
    <n v="5"/>
    <x v="5"/>
  </r>
  <r>
    <d v="2025-05-09T00:00:00"/>
    <x v="8"/>
    <s v="Groceries"/>
    <x v="3"/>
    <x v="1"/>
    <n v="8"/>
    <n v="1228.05"/>
    <n v="9824.4"/>
    <x v="11"/>
    <x v="11"/>
    <n v="6"/>
    <x v="3"/>
  </r>
  <r>
    <d v="2025-02-19T00:00:00"/>
    <x v="7"/>
    <s v="Beverage"/>
    <x v="3"/>
    <x v="1"/>
    <n v="3"/>
    <n v="651.36"/>
    <n v="1954.08"/>
    <x v="2"/>
    <x v="2"/>
    <n v="4"/>
    <x v="1"/>
  </r>
  <r>
    <d v="2025-05-09T00:00:00"/>
    <x v="5"/>
    <s v="Beverage"/>
    <x v="1"/>
    <x v="2"/>
    <n v="3"/>
    <n v="1707.59"/>
    <n v="5122.7700000000004"/>
    <x v="11"/>
    <x v="11"/>
    <n v="6"/>
    <x v="3"/>
  </r>
  <r>
    <d v="2025-10-12T00:00:00"/>
    <x v="0"/>
    <s v="Beverage"/>
    <x v="3"/>
    <x v="0"/>
    <n v="4"/>
    <n v="1532.4"/>
    <n v="6129.6"/>
    <x v="1"/>
    <x v="1"/>
    <n v="1"/>
    <x v="4"/>
  </r>
  <r>
    <d v="2025-10-17T00:00:00"/>
    <x v="4"/>
    <s v="Groceries"/>
    <x v="3"/>
    <x v="0"/>
    <n v="16"/>
    <n v="3503.71"/>
    <n v="56059.360000000001"/>
    <x v="1"/>
    <x v="1"/>
    <n v="6"/>
    <x v="3"/>
  </r>
  <r>
    <d v="2025-05-15T00:00:00"/>
    <x v="0"/>
    <s v="Groceries"/>
    <x v="3"/>
    <x v="1"/>
    <n v="19"/>
    <n v="949.74"/>
    <n v="18045.060000000001"/>
    <x v="11"/>
    <x v="11"/>
    <n v="5"/>
    <x v="5"/>
  </r>
  <r>
    <d v="2025-01-05T00:00:00"/>
    <x v="0"/>
    <s v="Food"/>
    <x v="2"/>
    <x v="1"/>
    <n v="6"/>
    <n v="1025.07"/>
    <n v="6150.42"/>
    <x v="9"/>
    <x v="9"/>
    <n v="1"/>
    <x v="4"/>
  </r>
  <r>
    <d v="2025-08-18T00:00:00"/>
    <x v="6"/>
    <s v="Food"/>
    <x v="3"/>
    <x v="4"/>
    <n v="6"/>
    <n v="11933.74"/>
    <n v="71602.44"/>
    <x v="8"/>
    <x v="8"/>
    <n v="2"/>
    <x v="2"/>
  </r>
  <r>
    <d v="2025-05-21T00:00:00"/>
    <x v="0"/>
    <s v="Food"/>
    <x v="0"/>
    <x v="0"/>
    <n v="13"/>
    <n v="1099.3"/>
    <n v="14290.9"/>
    <x v="11"/>
    <x v="11"/>
    <n v="4"/>
    <x v="1"/>
  </r>
  <r>
    <d v="2025-12-06T00:00:00"/>
    <x v="3"/>
    <s v="Groceries"/>
    <x v="2"/>
    <x v="3"/>
    <n v="1"/>
    <n v="2208.29"/>
    <n v="2208.29"/>
    <x v="5"/>
    <x v="5"/>
    <n v="7"/>
    <x v="0"/>
  </r>
  <r>
    <d v="2025-06-28T00:00:00"/>
    <x v="5"/>
    <s v="Beverage"/>
    <x v="3"/>
    <x v="0"/>
    <n v="6"/>
    <n v="1877.45"/>
    <n v="11264.7"/>
    <x v="4"/>
    <x v="4"/>
    <n v="7"/>
    <x v="0"/>
  </r>
  <r>
    <d v="2025-05-22T00:00:00"/>
    <x v="9"/>
    <s v="Food"/>
    <x v="3"/>
    <x v="0"/>
    <n v="12"/>
    <n v="4404.25"/>
    <n v="52851"/>
    <x v="11"/>
    <x v="11"/>
    <n v="5"/>
    <x v="5"/>
  </r>
  <r>
    <d v="2025-02-11T00:00:00"/>
    <x v="9"/>
    <s v="Beverage"/>
    <x v="2"/>
    <x v="5"/>
    <n v="10"/>
    <n v="4272.92"/>
    <n v="42729.2"/>
    <x v="2"/>
    <x v="2"/>
    <n v="3"/>
    <x v="6"/>
  </r>
  <r>
    <d v="2025-05-13T00:00:00"/>
    <x v="7"/>
    <s v="Groceries"/>
    <x v="3"/>
    <x v="1"/>
    <n v="15"/>
    <n v="753.43"/>
    <n v="11301.45"/>
    <x v="11"/>
    <x v="11"/>
    <n v="3"/>
    <x v="6"/>
  </r>
  <r>
    <d v="2025-03-06T00:00:00"/>
    <x v="3"/>
    <s v="Groceries"/>
    <x v="1"/>
    <x v="2"/>
    <n v="18"/>
    <n v="2711.46"/>
    <n v="48806.28"/>
    <x v="10"/>
    <x v="10"/>
    <n v="5"/>
    <x v="5"/>
  </r>
  <r>
    <d v="2025-01-25T00:00:00"/>
    <x v="3"/>
    <s v="Food"/>
    <x v="2"/>
    <x v="3"/>
    <n v="4"/>
    <n v="2659.56"/>
    <n v="10638.24"/>
    <x v="9"/>
    <x v="9"/>
    <n v="7"/>
    <x v="0"/>
  </r>
  <r>
    <d v="2025-11-16T00:00:00"/>
    <x v="9"/>
    <s v="Beverage"/>
    <x v="2"/>
    <x v="2"/>
    <n v="3"/>
    <n v="4450.87"/>
    <n v="13352.61"/>
    <x v="3"/>
    <x v="3"/>
    <n v="1"/>
    <x v="4"/>
  </r>
  <r>
    <d v="2025-01-25T00:00:00"/>
    <x v="8"/>
    <s v="Beverage"/>
    <x v="3"/>
    <x v="1"/>
    <n v="2"/>
    <n v="1003.66"/>
    <n v="2007.32"/>
    <x v="9"/>
    <x v="9"/>
    <n v="7"/>
    <x v="0"/>
  </r>
  <r>
    <d v="2025-03-19T00:00:00"/>
    <x v="0"/>
    <s v="Food"/>
    <x v="3"/>
    <x v="4"/>
    <n v="13"/>
    <n v="1514.24"/>
    <n v="19685.12"/>
    <x v="10"/>
    <x v="10"/>
    <n v="4"/>
    <x v="1"/>
  </r>
  <r>
    <d v="2025-01-20T00:00:00"/>
    <x v="3"/>
    <s v="Food"/>
    <x v="3"/>
    <x v="1"/>
    <n v="11"/>
    <n v="2679.38"/>
    <n v="29473.18"/>
    <x v="9"/>
    <x v="9"/>
    <n v="2"/>
    <x v="2"/>
  </r>
  <r>
    <d v="2025-02-28T00:00:00"/>
    <x v="5"/>
    <s v="Groceries"/>
    <x v="0"/>
    <x v="5"/>
    <n v="5"/>
    <n v="1752.69"/>
    <n v="8763.4500000000007"/>
    <x v="2"/>
    <x v="2"/>
    <n v="6"/>
    <x v="3"/>
  </r>
  <r>
    <d v="2025-09-26T00:00:00"/>
    <x v="4"/>
    <s v="Beverage"/>
    <x v="1"/>
    <x v="5"/>
    <n v="18"/>
    <n v="3673.34"/>
    <n v="66120.12"/>
    <x v="7"/>
    <x v="7"/>
    <n v="6"/>
    <x v="3"/>
  </r>
  <r>
    <d v="2025-02-25T00:00:00"/>
    <x v="4"/>
    <s v="Groceries"/>
    <x v="0"/>
    <x v="3"/>
    <n v="3"/>
    <n v="3723.89"/>
    <n v="11171.67"/>
    <x v="2"/>
    <x v="2"/>
    <n v="3"/>
    <x v="6"/>
  </r>
  <r>
    <d v="2025-06-04T00:00:00"/>
    <x v="7"/>
    <s v="Groceries"/>
    <x v="3"/>
    <x v="4"/>
    <n v="1"/>
    <n v="804.52"/>
    <n v="804.52"/>
    <x v="4"/>
    <x v="4"/>
    <n v="4"/>
    <x v="1"/>
  </r>
  <r>
    <d v="2025-04-12T00:00:00"/>
    <x v="2"/>
    <s v="Food"/>
    <x v="2"/>
    <x v="2"/>
    <n v="4"/>
    <n v="609.73"/>
    <n v="2438.92"/>
    <x v="0"/>
    <x v="0"/>
    <n v="7"/>
    <x v="0"/>
  </r>
  <r>
    <d v="2025-08-18T00:00:00"/>
    <x v="3"/>
    <s v="Groceries"/>
    <x v="2"/>
    <x v="2"/>
    <n v="3"/>
    <n v="2301.64"/>
    <n v="6904.92"/>
    <x v="8"/>
    <x v="8"/>
    <n v="2"/>
    <x v="2"/>
  </r>
  <r>
    <d v="2025-04-01T00:00:00"/>
    <x v="9"/>
    <s v="Beverage"/>
    <x v="0"/>
    <x v="3"/>
    <n v="5"/>
    <n v="2473.17"/>
    <n v="12365.85"/>
    <x v="0"/>
    <x v="0"/>
    <n v="3"/>
    <x v="6"/>
  </r>
  <r>
    <d v="2025-03-02T00:00:00"/>
    <x v="8"/>
    <s v="Beverage"/>
    <x v="1"/>
    <x v="1"/>
    <n v="10"/>
    <n v="1108.58"/>
    <n v="11085.8"/>
    <x v="10"/>
    <x v="10"/>
    <n v="1"/>
    <x v="4"/>
  </r>
  <r>
    <d v="2025-03-05T00:00:00"/>
    <x v="8"/>
    <s v="Beverage"/>
    <x v="1"/>
    <x v="1"/>
    <n v="18"/>
    <n v="738.77"/>
    <n v="13297.86"/>
    <x v="10"/>
    <x v="10"/>
    <n v="4"/>
    <x v="1"/>
  </r>
  <r>
    <d v="2025-06-08T00:00:00"/>
    <x v="0"/>
    <s v="Food"/>
    <x v="0"/>
    <x v="3"/>
    <n v="11"/>
    <n v="1167.1500000000001"/>
    <n v="12838.65"/>
    <x v="4"/>
    <x v="4"/>
    <n v="1"/>
    <x v="4"/>
  </r>
  <r>
    <d v="2025-11-03T00:00:00"/>
    <x v="5"/>
    <s v="Food"/>
    <x v="1"/>
    <x v="2"/>
    <n v="2"/>
    <n v="1342.21"/>
    <n v="2684.42"/>
    <x v="3"/>
    <x v="3"/>
    <n v="2"/>
    <x v="2"/>
  </r>
  <r>
    <d v="2025-09-08T00:00:00"/>
    <x v="3"/>
    <s v="Groceries"/>
    <x v="2"/>
    <x v="1"/>
    <n v="6"/>
    <n v="2338.59"/>
    <n v="14031.54"/>
    <x v="7"/>
    <x v="7"/>
    <n v="2"/>
    <x v="2"/>
  </r>
  <r>
    <d v="2025-02-11T00:00:00"/>
    <x v="6"/>
    <s v="Food"/>
    <x v="3"/>
    <x v="1"/>
    <n v="9"/>
    <n v="18985.48"/>
    <n v="170869.32"/>
    <x v="2"/>
    <x v="2"/>
    <n v="3"/>
    <x v="6"/>
  </r>
  <r>
    <d v="2025-05-09T00:00:00"/>
    <x v="6"/>
    <s v="Beverage"/>
    <x v="1"/>
    <x v="0"/>
    <n v="8"/>
    <n v="14653.3"/>
    <n v="117226.4"/>
    <x v="11"/>
    <x v="11"/>
    <n v="6"/>
    <x v="3"/>
  </r>
  <r>
    <d v="2025-07-21T00:00:00"/>
    <x v="5"/>
    <s v="Beverage"/>
    <x v="3"/>
    <x v="5"/>
    <n v="8"/>
    <n v="1254.27"/>
    <n v="10034.16"/>
    <x v="6"/>
    <x v="6"/>
    <n v="2"/>
    <x v="2"/>
  </r>
  <r>
    <d v="2025-12-08T00:00:00"/>
    <x v="2"/>
    <s v="Food"/>
    <x v="0"/>
    <x v="3"/>
    <n v="12"/>
    <n v="604.4"/>
    <n v="7252.8"/>
    <x v="5"/>
    <x v="5"/>
    <n v="2"/>
    <x v="2"/>
  </r>
  <r>
    <d v="2025-04-10T00:00:00"/>
    <x v="2"/>
    <s v="Food"/>
    <x v="3"/>
    <x v="1"/>
    <n v="11"/>
    <n v="657.25"/>
    <n v="7229.75"/>
    <x v="0"/>
    <x v="0"/>
    <n v="5"/>
    <x v="5"/>
  </r>
  <r>
    <d v="2025-05-31T00:00:00"/>
    <x v="6"/>
    <s v="Food"/>
    <x v="3"/>
    <x v="1"/>
    <n v="8"/>
    <n v="13679.26"/>
    <n v="109434.08"/>
    <x v="11"/>
    <x v="11"/>
    <n v="7"/>
    <x v="0"/>
  </r>
  <r>
    <d v="2025-08-15T00:00:00"/>
    <x v="0"/>
    <s v="Groceries"/>
    <x v="0"/>
    <x v="5"/>
    <n v="19"/>
    <n v="965.36"/>
    <n v="18341.84"/>
    <x v="8"/>
    <x v="8"/>
    <n v="6"/>
    <x v="3"/>
  </r>
  <r>
    <d v="2025-09-17T00:00:00"/>
    <x v="8"/>
    <s v="Beverage"/>
    <x v="1"/>
    <x v="0"/>
    <n v="6"/>
    <n v="749.57"/>
    <n v="4497.42"/>
    <x v="7"/>
    <x v="7"/>
    <n v="4"/>
    <x v="1"/>
  </r>
  <r>
    <d v="2025-08-07T00:00:00"/>
    <x v="6"/>
    <s v="Groceries"/>
    <x v="3"/>
    <x v="1"/>
    <n v="9"/>
    <n v="13937.46"/>
    <n v="125437.14"/>
    <x v="8"/>
    <x v="8"/>
    <n v="5"/>
    <x v="5"/>
  </r>
  <r>
    <d v="2025-02-18T00:00:00"/>
    <x v="0"/>
    <s v="Beverage"/>
    <x v="3"/>
    <x v="1"/>
    <n v="9"/>
    <n v="1531.08"/>
    <n v="13779.72"/>
    <x v="2"/>
    <x v="2"/>
    <n v="3"/>
    <x v="6"/>
  </r>
  <r>
    <d v="2025-04-28T00:00:00"/>
    <x v="3"/>
    <s v="Beverage"/>
    <x v="2"/>
    <x v="2"/>
    <n v="12"/>
    <n v="2461.5"/>
    <n v="29538"/>
    <x v="0"/>
    <x v="0"/>
    <n v="2"/>
    <x v="2"/>
  </r>
  <r>
    <d v="2025-09-14T00:00:00"/>
    <x v="9"/>
    <s v="Food"/>
    <x v="2"/>
    <x v="2"/>
    <n v="2"/>
    <n v="2719"/>
    <n v="5438"/>
    <x v="7"/>
    <x v="7"/>
    <n v="1"/>
    <x v="4"/>
  </r>
  <r>
    <d v="2025-09-27T00:00:00"/>
    <x v="6"/>
    <s v="Beverage"/>
    <x v="0"/>
    <x v="3"/>
    <n v="8"/>
    <n v="14388.69"/>
    <n v="115109.52"/>
    <x v="7"/>
    <x v="7"/>
    <n v="7"/>
    <x v="0"/>
  </r>
  <r>
    <d v="2025-05-03T00:00:00"/>
    <x v="1"/>
    <s v="Food"/>
    <x v="1"/>
    <x v="2"/>
    <n v="12"/>
    <n v="736.63"/>
    <n v="8839.56"/>
    <x v="11"/>
    <x v="11"/>
    <n v="7"/>
    <x v="0"/>
  </r>
  <r>
    <d v="2025-06-22T00:00:00"/>
    <x v="6"/>
    <s v="Food"/>
    <x v="0"/>
    <x v="0"/>
    <n v="7"/>
    <n v="18118.63"/>
    <n v="126830.41"/>
    <x v="4"/>
    <x v="4"/>
    <n v="1"/>
    <x v="4"/>
  </r>
  <r>
    <d v="2025-08-20T00:00:00"/>
    <x v="3"/>
    <s v="Food"/>
    <x v="2"/>
    <x v="1"/>
    <n v="8"/>
    <n v="2872.29"/>
    <n v="22978.32"/>
    <x v="8"/>
    <x v="8"/>
    <n v="4"/>
    <x v="1"/>
  </r>
  <r>
    <d v="2025-08-25T00:00:00"/>
    <x v="5"/>
    <s v="Groceries"/>
    <x v="3"/>
    <x v="5"/>
    <n v="11"/>
    <n v="1292.4000000000001"/>
    <n v="14216.4"/>
    <x v="8"/>
    <x v="8"/>
    <n v="2"/>
    <x v="2"/>
  </r>
  <r>
    <d v="2025-12-13T00:00:00"/>
    <x v="3"/>
    <s v="Beverage"/>
    <x v="2"/>
    <x v="1"/>
    <n v="15"/>
    <n v="1887.81"/>
    <n v="28317.15"/>
    <x v="5"/>
    <x v="5"/>
    <n v="7"/>
    <x v="0"/>
  </r>
  <r>
    <d v="2025-02-19T00:00:00"/>
    <x v="7"/>
    <s v="Groceries"/>
    <x v="3"/>
    <x v="4"/>
    <n v="13"/>
    <n v="758.44"/>
    <n v="9859.7199999999993"/>
    <x v="2"/>
    <x v="2"/>
    <n v="4"/>
    <x v="1"/>
  </r>
  <r>
    <d v="2025-07-07T00:00:00"/>
    <x v="6"/>
    <s v="Groceries"/>
    <x v="0"/>
    <x v="5"/>
    <n v="7"/>
    <n v="15694.56"/>
    <n v="109861.92"/>
    <x v="6"/>
    <x v="6"/>
    <n v="2"/>
    <x v="2"/>
  </r>
  <r>
    <d v="2025-10-07T00:00:00"/>
    <x v="8"/>
    <s v="Groceries"/>
    <x v="3"/>
    <x v="0"/>
    <n v="16"/>
    <n v="1187.05"/>
    <n v="18992.8"/>
    <x v="1"/>
    <x v="1"/>
    <n v="3"/>
    <x v="6"/>
  </r>
  <r>
    <d v="2025-12-29T00:00:00"/>
    <x v="8"/>
    <s v="Groceries"/>
    <x v="2"/>
    <x v="2"/>
    <n v="8"/>
    <n v="816.37"/>
    <n v="6530.96"/>
    <x v="5"/>
    <x v="5"/>
    <n v="2"/>
    <x v="2"/>
  </r>
  <r>
    <d v="2025-11-15T00:00:00"/>
    <x v="1"/>
    <s v="Beverage"/>
    <x v="0"/>
    <x v="3"/>
    <n v="10"/>
    <n v="1030.8699999999999"/>
    <n v="10308.700000000001"/>
    <x v="3"/>
    <x v="3"/>
    <n v="7"/>
    <x v="0"/>
  </r>
  <r>
    <d v="2025-10-28T00:00:00"/>
    <x v="5"/>
    <s v="Groceries"/>
    <x v="0"/>
    <x v="0"/>
    <n v="9"/>
    <n v="1387.73"/>
    <n v="12489.57"/>
    <x v="1"/>
    <x v="1"/>
    <n v="3"/>
    <x v="6"/>
  </r>
  <r>
    <d v="2025-03-26T00:00:00"/>
    <x v="1"/>
    <s v="Beverage"/>
    <x v="1"/>
    <x v="2"/>
    <n v="17"/>
    <n v="635.96"/>
    <n v="10811.32"/>
    <x v="10"/>
    <x v="10"/>
    <n v="4"/>
    <x v="1"/>
  </r>
  <r>
    <d v="2025-04-30T00:00:00"/>
    <x v="3"/>
    <s v="Food"/>
    <x v="2"/>
    <x v="2"/>
    <n v="11"/>
    <n v="2884.4"/>
    <n v="31728.400000000001"/>
    <x v="0"/>
    <x v="0"/>
    <n v="4"/>
    <x v="1"/>
  </r>
  <r>
    <d v="2025-08-10T00:00:00"/>
    <x v="5"/>
    <s v="Beverage"/>
    <x v="3"/>
    <x v="5"/>
    <n v="5"/>
    <n v="1162.24"/>
    <n v="5811.2"/>
    <x v="8"/>
    <x v="8"/>
    <n v="1"/>
    <x v="4"/>
  </r>
  <r>
    <d v="2025-04-20T00:00:00"/>
    <x v="0"/>
    <s v="Beverage"/>
    <x v="3"/>
    <x v="5"/>
    <n v="5"/>
    <n v="1317.39"/>
    <n v="6586.95"/>
    <x v="0"/>
    <x v="0"/>
    <n v="1"/>
    <x v="4"/>
  </r>
  <r>
    <d v="2025-11-05T00:00:00"/>
    <x v="2"/>
    <s v="Groceries"/>
    <x v="2"/>
    <x v="0"/>
    <n v="6"/>
    <n v="480.08"/>
    <n v="2880.48"/>
    <x v="3"/>
    <x v="3"/>
    <n v="4"/>
    <x v="1"/>
  </r>
  <r>
    <d v="2025-07-06T00:00:00"/>
    <x v="4"/>
    <s v="Food"/>
    <x v="3"/>
    <x v="1"/>
    <n v="7"/>
    <n v="4942.92"/>
    <n v="34600.44"/>
    <x v="6"/>
    <x v="6"/>
    <n v="1"/>
    <x v="4"/>
  </r>
  <r>
    <d v="2025-01-14T00:00:00"/>
    <x v="7"/>
    <s v="Food"/>
    <x v="3"/>
    <x v="0"/>
    <n v="4"/>
    <n v="585.35"/>
    <n v="2341.4"/>
    <x v="9"/>
    <x v="9"/>
    <n v="3"/>
    <x v="6"/>
  </r>
  <r>
    <d v="2025-01-24T00:00:00"/>
    <x v="3"/>
    <s v="Beverage"/>
    <x v="1"/>
    <x v="5"/>
    <n v="19"/>
    <n v="2497.38"/>
    <n v="47450.22"/>
    <x v="9"/>
    <x v="9"/>
    <n v="6"/>
    <x v="3"/>
  </r>
  <r>
    <d v="2025-07-29T00:00:00"/>
    <x v="9"/>
    <s v="Food"/>
    <x v="3"/>
    <x v="0"/>
    <n v="6"/>
    <n v="2890.67"/>
    <n v="17344.02"/>
    <x v="6"/>
    <x v="6"/>
    <n v="3"/>
    <x v="6"/>
  </r>
  <r>
    <d v="2025-12-21T00:00:00"/>
    <x v="7"/>
    <s v="Food"/>
    <x v="3"/>
    <x v="1"/>
    <n v="1"/>
    <n v="602.53"/>
    <n v="602.53"/>
    <x v="5"/>
    <x v="5"/>
    <n v="1"/>
    <x v="4"/>
  </r>
  <r>
    <d v="2025-04-25T00:00:00"/>
    <x v="6"/>
    <s v="Groceries"/>
    <x v="3"/>
    <x v="5"/>
    <n v="15"/>
    <n v="19485.13"/>
    <n v="292276.95"/>
    <x v="0"/>
    <x v="0"/>
    <n v="6"/>
    <x v="3"/>
  </r>
  <r>
    <d v="2025-04-27T00:00:00"/>
    <x v="6"/>
    <s v="Food"/>
    <x v="1"/>
    <x v="2"/>
    <n v="16"/>
    <n v="12104.27"/>
    <n v="193668.32"/>
    <x v="0"/>
    <x v="0"/>
    <n v="1"/>
    <x v="4"/>
  </r>
  <r>
    <d v="2025-07-16T00:00:00"/>
    <x v="5"/>
    <s v="Food"/>
    <x v="1"/>
    <x v="1"/>
    <n v="10"/>
    <n v="1351.06"/>
    <n v="13510.6"/>
    <x v="6"/>
    <x v="6"/>
    <n v="4"/>
    <x v="1"/>
  </r>
  <r>
    <d v="2025-04-16T00:00:00"/>
    <x v="6"/>
    <s v="Beverage"/>
    <x v="1"/>
    <x v="1"/>
    <n v="6"/>
    <n v="15162.71"/>
    <n v="90976.26"/>
    <x v="0"/>
    <x v="0"/>
    <n v="4"/>
    <x v="1"/>
  </r>
  <r>
    <d v="2025-12-30T00:00:00"/>
    <x v="7"/>
    <s v="Food"/>
    <x v="0"/>
    <x v="0"/>
    <n v="3"/>
    <n v="766.24"/>
    <n v="2298.7199999999998"/>
    <x v="5"/>
    <x v="5"/>
    <n v="3"/>
    <x v="6"/>
  </r>
  <r>
    <d v="2025-03-09T00:00:00"/>
    <x v="8"/>
    <s v="Food"/>
    <x v="2"/>
    <x v="0"/>
    <n v="5"/>
    <n v="1123.6099999999999"/>
    <n v="5618.05"/>
    <x v="10"/>
    <x v="10"/>
    <n v="1"/>
    <x v="4"/>
  </r>
  <r>
    <d v="2025-03-30T00:00:00"/>
    <x v="0"/>
    <s v="Beverage"/>
    <x v="0"/>
    <x v="0"/>
    <n v="3"/>
    <n v="1154.53"/>
    <n v="3463.59"/>
    <x v="10"/>
    <x v="10"/>
    <n v="1"/>
    <x v="4"/>
  </r>
  <r>
    <d v="2025-11-08T00:00:00"/>
    <x v="0"/>
    <s v="Beverage"/>
    <x v="2"/>
    <x v="2"/>
    <n v="12"/>
    <n v="937.45"/>
    <n v="11249.4"/>
    <x v="3"/>
    <x v="3"/>
    <n v="7"/>
    <x v="0"/>
  </r>
  <r>
    <d v="2025-01-31T00:00:00"/>
    <x v="0"/>
    <s v="Food"/>
    <x v="3"/>
    <x v="1"/>
    <n v="12"/>
    <n v="872.11"/>
    <n v="10465.32"/>
    <x v="9"/>
    <x v="9"/>
    <n v="6"/>
    <x v="3"/>
  </r>
  <r>
    <d v="2025-12-07T00:00:00"/>
    <x v="5"/>
    <s v="Groceries"/>
    <x v="0"/>
    <x v="2"/>
    <n v="14"/>
    <n v="1274.5899999999999"/>
    <n v="17844.259999999998"/>
    <x v="5"/>
    <x v="5"/>
    <n v="1"/>
    <x v="4"/>
  </r>
  <r>
    <d v="2025-12-01T00:00:00"/>
    <x v="9"/>
    <s v="Groceries"/>
    <x v="1"/>
    <x v="2"/>
    <n v="13"/>
    <n v="3013.09"/>
    <n v="39170.17"/>
    <x v="5"/>
    <x v="5"/>
    <n v="2"/>
    <x v="2"/>
  </r>
  <r>
    <d v="2025-11-24T00:00:00"/>
    <x v="0"/>
    <s v="Groceries"/>
    <x v="3"/>
    <x v="0"/>
    <n v="11"/>
    <n v="940.26"/>
    <n v="10342.86"/>
    <x v="3"/>
    <x v="3"/>
    <n v="2"/>
    <x v="2"/>
  </r>
  <r>
    <d v="2025-07-14T00:00:00"/>
    <x v="3"/>
    <s v="Food"/>
    <x v="0"/>
    <x v="0"/>
    <n v="11"/>
    <n v="3195.09"/>
    <n v="35145.99"/>
    <x v="6"/>
    <x v="6"/>
    <n v="2"/>
    <x v="2"/>
  </r>
  <r>
    <d v="2025-05-22T00:00:00"/>
    <x v="5"/>
    <s v="Food"/>
    <x v="1"/>
    <x v="0"/>
    <n v="12"/>
    <n v="1758.94"/>
    <n v="21107.279999999999"/>
    <x v="11"/>
    <x v="11"/>
    <n v="5"/>
    <x v="5"/>
  </r>
  <r>
    <d v="2025-05-21T00:00:00"/>
    <x v="4"/>
    <s v="Food"/>
    <x v="1"/>
    <x v="1"/>
    <n v="18"/>
    <n v="3934.9"/>
    <n v="70828.2"/>
    <x v="11"/>
    <x v="11"/>
    <n v="4"/>
    <x v="1"/>
  </r>
  <r>
    <d v="2025-03-27T00:00:00"/>
    <x v="1"/>
    <s v="Food"/>
    <x v="3"/>
    <x v="1"/>
    <n v="19"/>
    <n v="796.7"/>
    <n v="15137.3"/>
    <x v="10"/>
    <x v="10"/>
    <n v="5"/>
    <x v="5"/>
  </r>
  <r>
    <d v="2025-12-06T00:00:00"/>
    <x v="4"/>
    <s v="Food"/>
    <x v="2"/>
    <x v="3"/>
    <n v="18"/>
    <n v="5660.02"/>
    <n v="101880.36"/>
    <x v="5"/>
    <x v="5"/>
    <n v="7"/>
    <x v="0"/>
  </r>
  <r>
    <d v="2025-11-22T00:00:00"/>
    <x v="9"/>
    <s v="Groceries"/>
    <x v="2"/>
    <x v="3"/>
    <n v="2"/>
    <n v="3298.35"/>
    <n v="6596.7"/>
    <x v="3"/>
    <x v="3"/>
    <n v="7"/>
    <x v="0"/>
  </r>
  <r>
    <d v="2025-02-12T00:00:00"/>
    <x v="4"/>
    <s v="Groceries"/>
    <x v="1"/>
    <x v="2"/>
    <n v="17"/>
    <n v="5338.7"/>
    <n v="90757.9"/>
    <x v="2"/>
    <x v="2"/>
    <n v="4"/>
    <x v="1"/>
  </r>
  <r>
    <d v="2025-07-16T00:00:00"/>
    <x v="3"/>
    <s v="Food"/>
    <x v="1"/>
    <x v="1"/>
    <n v="5"/>
    <n v="3168.55"/>
    <n v="15842.75"/>
    <x v="6"/>
    <x v="6"/>
    <n v="4"/>
    <x v="1"/>
  </r>
  <r>
    <d v="2025-04-21T00:00:00"/>
    <x v="4"/>
    <s v="Beverage"/>
    <x v="1"/>
    <x v="0"/>
    <n v="16"/>
    <n v="4735.3"/>
    <n v="75764.800000000003"/>
    <x v="0"/>
    <x v="0"/>
    <n v="2"/>
    <x v="2"/>
  </r>
  <r>
    <d v="2025-05-04T00:00:00"/>
    <x v="5"/>
    <s v="Beverage"/>
    <x v="3"/>
    <x v="4"/>
    <n v="10"/>
    <n v="1930.26"/>
    <n v="19302.599999999999"/>
    <x v="11"/>
    <x v="11"/>
    <n v="1"/>
    <x v="4"/>
  </r>
  <r>
    <d v="2025-08-30T00:00:00"/>
    <x v="6"/>
    <s v="Groceries"/>
    <x v="2"/>
    <x v="2"/>
    <n v="4"/>
    <n v="17310.759999999998"/>
    <n v="69243.039999999994"/>
    <x v="8"/>
    <x v="8"/>
    <n v="7"/>
    <x v="0"/>
  </r>
  <r>
    <d v="2025-08-01T00:00:00"/>
    <x v="2"/>
    <s v="Food"/>
    <x v="0"/>
    <x v="2"/>
    <n v="14"/>
    <n v="505.97"/>
    <n v="7083.58"/>
    <x v="8"/>
    <x v="8"/>
    <n v="6"/>
    <x v="3"/>
  </r>
  <r>
    <d v="2025-06-16T00:00:00"/>
    <x v="1"/>
    <s v="Beverage"/>
    <x v="2"/>
    <x v="0"/>
    <n v="3"/>
    <n v="1120.98"/>
    <n v="3362.94"/>
    <x v="4"/>
    <x v="4"/>
    <n v="2"/>
    <x v="2"/>
  </r>
  <r>
    <d v="2025-04-06T00:00:00"/>
    <x v="1"/>
    <s v="Groceries"/>
    <x v="1"/>
    <x v="2"/>
    <n v="18"/>
    <n v="680.44"/>
    <n v="12247.92"/>
    <x v="0"/>
    <x v="0"/>
    <n v="1"/>
    <x v="4"/>
  </r>
  <r>
    <d v="2025-07-15T00:00:00"/>
    <x v="7"/>
    <s v="Groceries"/>
    <x v="3"/>
    <x v="4"/>
    <n v="10"/>
    <n v="605.14"/>
    <n v="6051.4"/>
    <x v="6"/>
    <x v="6"/>
    <n v="3"/>
    <x v="6"/>
  </r>
  <r>
    <d v="2025-10-23T00:00:00"/>
    <x v="0"/>
    <s v="Food"/>
    <x v="2"/>
    <x v="3"/>
    <n v="15"/>
    <n v="981.01"/>
    <n v="14715.15"/>
    <x v="1"/>
    <x v="1"/>
    <n v="5"/>
    <x v="5"/>
  </r>
  <r>
    <d v="2025-08-25T00:00:00"/>
    <x v="2"/>
    <s v="Beverage"/>
    <x v="1"/>
    <x v="2"/>
    <n v="6"/>
    <n v="705.57"/>
    <n v="4233.42"/>
    <x v="8"/>
    <x v="8"/>
    <n v="2"/>
    <x v="2"/>
  </r>
  <r>
    <d v="2025-09-19T00:00:00"/>
    <x v="7"/>
    <s v="Food"/>
    <x v="0"/>
    <x v="5"/>
    <n v="18"/>
    <n v="641.04999999999995"/>
    <n v="11538.9"/>
    <x v="7"/>
    <x v="7"/>
    <n v="6"/>
    <x v="3"/>
  </r>
  <r>
    <d v="2025-08-07T00:00:00"/>
    <x v="6"/>
    <s v="Groceries"/>
    <x v="3"/>
    <x v="1"/>
    <n v="16"/>
    <n v="11868.94"/>
    <n v="189903.04"/>
    <x v="8"/>
    <x v="8"/>
    <n v="5"/>
    <x v="5"/>
  </r>
  <r>
    <d v="2025-09-16T00:00:00"/>
    <x v="9"/>
    <s v="Beverage"/>
    <x v="1"/>
    <x v="5"/>
    <n v="9"/>
    <n v="4137.57"/>
    <n v="37238.129999999997"/>
    <x v="7"/>
    <x v="7"/>
    <n v="3"/>
    <x v="6"/>
  </r>
  <r>
    <d v="2025-10-28T00:00:00"/>
    <x v="5"/>
    <s v="Food"/>
    <x v="0"/>
    <x v="3"/>
    <n v="13"/>
    <n v="1340.71"/>
    <n v="17429.23"/>
    <x v="1"/>
    <x v="1"/>
    <n v="3"/>
    <x v="6"/>
  </r>
  <r>
    <d v="2025-04-11T00:00:00"/>
    <x v="1"/>
    <s v="Groceries"/>
    <x v="0"/>
    <x v="5"/>
    <n v="5"/>
    <n v="932.27"/>
    <n v="4661.3500000000004"/>
    <x v="0"/>
    <x v="0"/>
    <n v="6"/>
    <x v="3"/>
  </r>
  <r>
    <d v="2025-12-18T00:00:00"/>
    <x v="0"/>
    <s v="Food"/>
    <x v="3"/>
    <x v="0"/>
    <n v="5"/>
    <n v="1540.89"/>
    <n v="7704.45"/>
    <x v="5"/>
    <x v="5"/>
    <n v="5"/>
    <x v="5"/>
  </r>
  <r>
    <d v="2025-09-21T00:00:00"/>
    <x v="0"/>
    <s v="Beverage"/>
    <x v="1"/>
    <x v="5"/>
    <n v="12"/>
    <n v="1551.41"/>
    <n v="18616.919999999998"/>
    <x v="7"/>
    <x v="7"/>
    <n v="1"/>
    <x v="4"/>
  </r>
  <r>
    <d v="2025-12-29T00:00:00"/>
    <x v="4"/>
    <s v="Food"/>
    <x v="3"/>
    <x v="0"/>
    <n v="3"/>
    <n v="6139.47"/>
    <n v="18418.41"/>
    <x v="5"/>
    <x v="5"/>
    <n v="2"/>
    <x v="2"/>
  </r>
  <r>
    <d v="2025-10-12T00:00:00"/>
    <x v="1"/>
    <s v="Food"/>
    <x v="3"/>
    <x v="0"/>
    <n v="1"/>
    <n v="759.53"/>
    <n v="759.53"/>
    <x v="1"/>
    <x v="1"/>
    <n v="1"/>
    <x v="4"/>
  </r>
  <r>
    <d v="2025-06-28T00:00:00"/>
    <x v="3"/>
    <s v="Food"/>
    <x v="0"/>
    <x v="0"/>
    <n v="11"/>
    <n v="2726.72"/>
    <n v="29993.919999999998"/>
    <x v="4"/>
    <x v="4"/>
    <n v="7"/>
    <x v="0"/>
  </r>
  <r>
    <d v="2025-06-24T00:00:00"/>
    <x v="9"/>
    <s v="Food"/>
    <x v="2"/>
    <x v="2"/>
    <n v="11"/>
    <n v="4221.8500000000004"/>
    <n v="46440.35"/>
    <x v="4"/>
    <x v="4"/>
    <n v="3"/>
    <x v="6"/>
  </r>
  <r>
    <d v="2025-12-12T00:00:00"/>
    <x v="7"/>
    <s v="Food"/>
    <x v="3"/>
    <x v="1"/>
    <n v="16"/>
    <n v="611.04"/>
    <n v="9776.64"/>
    <x v="5"/>
    <x v="5"/>
    <n v="6"/>
    <x v="3"/>
  </r>
  <r>
    <d v="2025-09-04T00:00:00"/>
    <x v="5"/>
    <s v="Beverage"/>
    <x v="2"/>
    <x v="2"/>
    <n v="1"/>
    <n v="1803.34"/>
    <n v="1803.34"/>
    <x v="7"/>
    <x v="7"/>
    <n v="5"/>
    <x v="5"/>
  </r>
  <r>
    <d v="2025-12-08T00:00:00"/>
    <x v="7"/>
    <s v="Beverage"/>
    <x v="2"/>
    <x v="1"/>
    <n v="3"/>
    <n v="926.31"/>
    <n v="2778.93"/>
    <x v="5"/>
    <x v="5"/>
    <n v="2"/>
    <x v="2"/>
  </r>
  <r>
    <d v="2025-10-28T00:00:00"/>
    <x v="0"/>
    <s v="Beverage"/>
    <x v="3"/>
    <x v="4"/>
    <n v="17"/>
    <n v="1391.57"/>
    <n v="23656.69"/>
    <x v="1"/>
    <x v="1"/>
    <n v="3"/>
    <x v="6"/>
  </r>
  <r>
    <d v="2025-12-20T00:00:00"/>
    <x v="3"/>
    <s v="Groceries"/>
    <x v="2"/>
    <x v="5"/>
    <n v="2"/>
    <n v="2420.58"/>
    <n v="4841.16"/>
    <x v="5"/>
    <x v="5"/>
    <n v="7"/>
    <x v="0"/>
  </r>
  <r>
    <d v="2025-02-07T00:00:00"/>
    <x v="0"/>
    <s v="Food"/>
    <x v="3"/>
    <x v="5"/>
    <n v="19"/>
    <n v="1543.3"/>
    <n v="29322.7"/>
    <x v="2"/>
    <x v="2"/>
    <n v="6"/>
    <x v="3"/>
  </r>
  <r>
    <d v="2025-11-29T00:00:00"/>
    <x v="0"/>
    <s v="Food"/>
    <x v="2"/>
    <x v="0"/>
    <n v="6"/>
    <n v="1041.6300000000001"/>
    <n v="6249.78"/>
    <x v="3"/>
    <x v="3"/>
    <n v="7"/>
    <x v="0"/>
  </r>
  <r>
    <d v="2025-03-23T00:00:00"/>
    <x v="7"/>
    <s v="Groceries"/>
    <x v="1"/>
    <x v="5"/>
    <n v="9"/>
    <n v="962.94"/>
    <n v="8666.4599999999991"/>
    <x v="10"/>
    <x v="10"/>
    <n v="1"/>
    <x v="4"/>
  </r>
  <r>
    <d v="2025-06-21T00:00:00"/>
    <x v="5"/>
    <s v="Beverage"/>
    <x v="0"/>
    <x v="3"/>
    <n v="19"/>
    <n v="1835.48"/>
    <n v="34874.120000000003"/>
    <x v="4"/>
    <x v="4"/>
    <n v="7"/>
    <x v="0"/>
  </r>
  <r>
    <d v="2025-04-29T00:00:00"/>
    <x v="9"/>
    <s v="Food"/>
    <x v="2"/>
    <x v="2"/>
    <n v="8"/>
    <n v="3002.96"/>
    <n v="24023.68"/>
    <x v="0"/>
    <x v="0"/>
    <n v="3"/>
    <x v="6"/>
  </r>
  <r>
    <d v="2025-09-21T00:00:00"/>
    <x v="6"/>
    <s v="Food"/>
    <x v="1"/>
    <x v="5"/>
    <n v="3"/>
    <n v="12537.16"/>
    <n v="37611.480000000003"/>
    <x v="7"/>
    <x v="7"/>
    <n v="1"/>
    <x v="4"/>
  </r>
  <r>
    <d v="2025-11-29T00:00:00"/>
    <x v="4"/>
    <s v="Groceries"/>
    <x v="3"/>
    <x v="4"/>
    <n v="8"/>
    <n v="6131.79"/>
    <n v="49054.32"/>
    <x v="3"/>
    <x v="3"/>
    <n v="7"/>
    <x v="0"/>
  </r>
  <r>
    <d v="2025-05-04T00:00:00"/>
    <x v="9"/>
    <s v="Food"/>
    <x v="3"/>
    <x v="1"/>
    <n v="17"/>
    <n v="3049.11"/>
    <n v="51834.87"/>
    <x v="11"/>
    <x v="11"/>
    <n v="1"/>
    <x v="4"/>
  </r>
  <r>
    <d v="2025-09-24T00:00:00"/>
    <x v="7"/>
    <s v="Groceries"/>
    <x v="3"/>
    <x v="0"/>
    <n v="5"/>
    <n v="681.11"/>
    <n v="3405.55"/>
    <x v="7"/>
    <x v="7"/>
    <n v="4"/>
    <x v="1"/>
  </r>
  <r>
    <d v="2025-12-22T00:00:00"/>
    <x v="7"/>
    <s v="Food"/>
    <x v="2"/>
    <x v="1"/>
    <n v="9"/>
    <n v="996.62"/>
    <n v="8969.58"/>
    <x v="5"/>
    <x v="5"/>
    <n v="2"/>
    <x v="2"/>
  </r>
  <r>
    <d v="2025-11-19T00:00:00"/>
    <x v="7"/>
    <s v="Food"/>
    <x v="1"/>
    <x v="2"/>
    <n v="8"/>
    <n v="808.37"/>
    <n v="6466.96"/>
    <x v="3"/>
    <x v="3"/>
    <n v="4"/>
    <x v="1"/>
  </r>
  <r>
    <d v="2025-11-27T00:00:00"/>
    <x v="9"/>
    <s v="Beverage"/>
    <x v="0"/>
    <x v="3"/>
    <n v="19"/>
    <n v="4324.3"/>
    <n v="82161.7"/>
    <x v="3"/>
    <x v="3"/>
    <n v="5"/>
    <x v="5"/>
  </r>
  <r>
    <d v="2025-04-02T00:00:00"/>
    <x v="9"/>
    <s v="Food"/>
    <x v="0"/>
    <x v="2"/>
    <n v="19"/>
    <n v="2948.61"/>
    <n v="56023.59"/>
    <x v="0"/>
    <x v="0"/>
    <n v="4"/>
    <x v="1"/>
  </r>
  <r>
    <d v="2025-12-13T00:00:00"/>
    <x v="0"/>
    <s v="Beverage"/>
    <x v="3"/>
    <x v="1"/>
    <n v="3"/>
    <n v="1309.5999999999999"/>
    <n v="3928.8"/>
    <x v="5"/>
    <x v="5"/>
    <n v="7"/>
    <x v="0"/>
  </r>
  <r>
    <d v="2025-07-12T00:00:00"/>
    <x v="2"/>
    <s v="Beverage"/>
    <x v="0"/>
    <x v="3"/>
    <n v="1"/>
    <n v="516.83000000000004"/>
    <n v="516.83000000000004"/>
    <x v="6"/>
    <x v="6"/>
    <n v="7"/>
    <x v="0"/>
  </r>
  <r>
    <d v="2025-09-18T00:00:00"/>
    <x v="9"/>
    <s v="Food"/>
    <x v="1"/>
    <x v="2"/>
    <n v="12"/>
    <n v="3718.55"/>
    <n v="44622.6"/>
    <x v="7"/>
    <x v="7"/>
    <n v="5"/>
    <x v="5"/>
  </r>
  <r>
    <d v="2025-10-09T00:00:00"/>
    <x v="2"/>
    <s v="Groceries"/>
    <x v="3"/>
    <x v="0"/>
    <n v="1"/>
    <n v="582.16999999999996"/>
    <n v="582.16999999999996"/>
    <x v="1"/>
    <x v="1"/>
    <n v="5"/>
    <x v="5"/>
  </r>
  <r>
    <d v="2025-04-18T00:00:00"/>
    <x v="6"/>
    <s v="Groceries"/>
    <x v="3"/>
    <x v="5"/>
    <n v="16"/>
    <n v="13026.15"/>
    <n v="208418.4"/>
    <x v="0"/>
    <x v="0"/>
    <n v="6"/>
    <x v="3"/>
  </r>
  <r>
    <d v="2025-11-07T00:00:00"/>
    <x v="6"/>
    <s v="Food"/>
    <x v="2"/>
    <x v="3"/>
    <n v="14"/>
    <n v="10945.47"/>
    <n v="153236.57999999999"/>
    <x v="3"/>
    <x v="3"/>
    <n v="6"/>
    <x v="3"/>
  </r>
  <r>
    <d v="2025-05-15T00:00:00"/>
    <x v="0"/>
    <s v="Food"/>
    <x v="1"/>
    <x v="1"/>
    <n v="17"/>
    <n v="997.33"/>
    <n v="16954.61"/>
    <x v="11"/>
    <x v="11"/>
    <n v="5"/>
    <x v="5"/>
  </r>
  <r>
    <d v="2025-04-15T00:00:00"/>
    <x v="9"/>
    <s v="Beverage"/>
    <x v="2"/>
    <x v="3"/>
    <n v="5"/>
    <n v="3047.58"/>
    <n v="15237.9"/>
    <x v="0"/>
    <x v="0"/>
    <n v="3"/>
    <x v="6"/>
  </r>
  <r>
    <d v="2025-01-17T00:00:00"/>
    <x v="2"/>
    <s v="Food"/>
    <x v="0"/>
    <x v="5"/>
    <n v="7"/>
    <n v="626.91999999999996"/>
    <n v="4388.4399999999996"/>
    <x v="9"/>
    <x v="9"/>
    <n v="6"/>
    <x v="3"/>
  </r>
  <r>
    <d v="2025-02-08T00:00:00"/>
    <x v="7"/>
    <s v="Groceries"/>
    <x v="2"/>
    <x v="1"/>
    <n v="1"/>
    <n v="747.14"/>
    <n v="747.14"/>
    <x v="2"/>
    <x v="2"/>
    <n v="7"/>
    <x v="0"/>
  </r>
  <r>
    <d v="2025-01-19T00:00:00"/>
    <x v="2"/>
    <s v="Food"/>
    <x v="2"/>
    <x v="1"/>
    <n v="12"/>
    <n v="662.86"/>
    <n v="7954.32"/>
    <x v="9"/>
    <x v="9"/>
    <n v="1"/>
    <x v="4"/>
  </r>
  <r>
    <d v="2025-10-27T00:00:00"/>
    <x v="1"/>
    <s v="Groceries"/>
    <x v="3"/>
    <x v="0"/>
    <n v="5"/>
    <n v="630.85"/>
    <n v="3154.25"/>
    <x v="1"/>
    <x v="1"/>
    <n v="2"/>
    <x v="2"/>
  </r>
  <r>
    <d v="2025-12-12T00:00:00"/>
    <x v="5"/>
    <s v="Beverage"/>
    <x v="2"/>
    <x v="3"/>
    <n v="15"/>
    <n v="1834.44"/>
    <n v="27516.6"/>
    <x v="5"/>
    <x v="5"/>
    <n v="6"/>
    <x v="3"/>
  </r>
  <r>
    <d v="2025-05-25T00:00:00"/>
    <x v="3"/>
    <s v="Beverage"/>
    <x v="2"/>
    <x v="2"/>
    <n v="18"/>
    <n v="1888.43"/>
    <n v="33991.74"/>
    <x v="11"/>
    <x v="11"/>
    <n v="1"/>
    <x v="4"/>
  </r>
  <r>
    <d v="2025-08-26T00:00:00"/>
    <x v="2"/>
    <s v="Food"/>
    <x v="2"/>
    <x v="2"/>
    <n v="19"/>
    <n v="547.72"/>
    <n v="10406.68"/>
    <x v="8"/>
    <x v="8"/>
    <n v="3"/>
    <x v="6"/>
  </r>
  <r>
    <d v="2025-09-14T00:00:00"/>
    <x v="4"/>
    <s v="Beverage"/>
    <x v="1"/>
    <x v="5"/>
    <n v="11"/>
    <n v="5296.08"/>
    <n v="58256.88"/>
    <x v="7"/>
    <x v="7"/>
    <n v="1"/>
    <x v="4"/>
  </r>
  <r>
    <d v="2025-07-28T00:00:00"/>
    <x v="7"/>
    <s v="Beverage"/>
    <x v="2"/>
    <x v="3"/>
    <n v="7"/>
    <n v="979.38"/>
    <n v="6855.66"/>
    <x v="6"/>
    <x v="6"/>
    <n v="2"/>
    <x v="2"/>
  </r>
  <r>
    <d v="2025-03-24T00:00:00"/>
    <x v="9"/>
    <s v="Groceries"/>
    <x v="2"/>
    <x v="0"/>
    <n v="6"/>
    <n v="4190.9399999999996"/>
    <n v="25145.64"/>
    <x v="10"/>
    <x v="10"/>
    <n v="2"/>
    <x v="2"/>
  </r>
  <r>
    <d v="2025-12-15T00:00:00"/>
    <x v="2"/>
    <s v="Beverage"/>
    <x v="2"/>
    <x v="3"/>
    <n v="12"/>
    <n v="526.21"/>
    <n v="6314.52"/>
    <x v="5"/>
    <x v="5"/>
    <n v="2"/>
    <x v="2"/>
  </r>
  <r>
    <d v="2025-11-16T00:00:00"/>
    <x v="5"/>
    <s v="Food"/>
    <x v="0"/>
    <x v="0"/>
    <n v="5"/>
    <n v="1160.7"/>
    <n v="5803.5"/>
    <x v="3"/>
    <x v="3"/>
    <n v="1"/>
    <x v="4"/>
  </r>
  <r>
    <d v="2025-02-18T00:00:00"/>
    <x v="4"/>
    <s v="Groceries"/>
    <x v="3"/>
    <x v="1"/>
    <n v="6"/>
    <n v="6036.81"/>
    <n v="36220.86"/>
    <x v="2"/>
    <x v="2"/>
    <n v="3"/>
    <x v="6"/>
  </r>
  <r>
    <d v="2025-04-16T00:00:00"/>
    <x v="3"/>
    <s v="Groceries"/>
    <x v="2"/>
    <x v="3"/>
    <n v="6"/>
    <n v="2933.48"/>
    <n v="17600.88"/>
    <x v="0"/>
    <x v="0"/>
    <n v="4"/>
    <x v="1"/>
  </r>
  <r>
    <d v="2025-07-06T00:00:00"/>
    <x v="3"/>
    <s v="Groceries"/>
    <x v="0"/>
    <x v="2"/>
    <n v="12"/>
    <n v="3124.95"/>
    <n v="37499.4"/>
    <x v="6"/>
    <x v="6"/>
    <n v="1"/>
    <x v="4"/>
  </r>
  <r>
    <d v="2025-03-03T00:00:00"/>
    <x v="5"/>
    <s v="Groceries"/>
    <x v="3"/>
    <x v="0"/>
    <n v="4"/>
    <n v="1403.68"/>
    <n v="5614.72"/>
    <x v="10"/>
    <x v="10"/>
    <n v="2"/>
    <x v="2"/>
  </r>
  <r>
    <d v="2025-06-15T00:00:00"/>
    <x v="3"/>
    <s v="Food"/>
    <x v="0"/>
    <x v="2"/>
    <n v="5"/>
    <n v="3085.15"/>
    <n v="15425.75"/>
    <x v="4"/>
    <x v="4"/>
    <n v="1"/>
    <x v="4"/>
  </r>
  <r>
    <d v="2025-07-11T00:00:00"/>
    <x v="0"/>
    <s v="Groceries"/>
    <x v="2"/>
    <x v="0"/>
    <n v="18"/>
    <n v="1298.57"/>
    <n v="23374.26"/>
    <x v="6"/>
    <x v="6"/>
    <n v="6"/>
    <x v="3"/>
  </r>
  <r>
    <d v="2025-05-05T00:00:00"/>
    <x v="6"/>
    <s v="Food"/>
    <x v="1"/>
    <x v="1"/>
    <n v="8"/>
    <n v="13781.34"/>
    <n v="110250.72"/>
    <x v="11"/>
    <x v="11"/>
    <n v="2"/>
    <x v="2"/>
  </r>
  <r>
    <d v="2025-04-25T00:00:00"/>
    <x v="2"/>
    <s v="Beverage"/>
    <x v="2"/>
    <x v="2"/>
    <n v="17"/>
    <n v="470.6"/>
    <n v="8000.2"/>
    <x v="0"/>
    <x v="0"/>
    <n v="6"/>
    <x v="3"/>
  </r>
  <r>
    <d v="2025-11-20T00:00:00"/>
    <x v="2"/>
    <s v="Groceries"/>
    <x v="0"/>
    <x v="5"/>
    <n v="13"/>
    <n v="558.30999999999995"/>
    <n v="7258.03"/>
    <x v="3"/>
    <x v="3"/>
    <n v="5"/>
    <x v="5"/>
  </r>
  <r>
    <d v="2025-06-03T00:00:00"/>
    <x v="9"/>
    <s v="Groceries"/>
    <x v="3"/>
    <x v="5"/>
    <n v="10"/>
    <n v="3280.41"/>
    <n v="32804.1"/>
    <x v="4"/>
    <x v="4"/>
    <n v="3"/>
    <x v="6"/>
  </r>
  <r>
    <d v="2025-09-18T00:00:00"/>
    <x v="8"/>
    <s v="Beverage"/>
    <x v="1"/>
    <x v="1"/>
    <n v="5"/>
    <n v="1273.55"/>
    <n v="6367.75"/>
    <x v="7"/>
    <x v="7"/>
    <n v="5"/>
    <x v="5"/>
  </r>
  <r>
    <d v="2025-12-22T00:00:00"/>
    <x v="7"/>
    <s v="Groceries"/>
    <x v="1"/>
    <x v="2"/>
    <n v="18"/>
    <n v="956.82"/>
    <n v="17222.759999999998"/>
    <x v="5"/>
    <x v="5"/>
    <n v="2"/>
    <x v="2"/>
  </r>
  <r>
    <d v="2025-10-11T00:00:00"/>
    <x v="0"/>
    <s v="Food"/>
    <x v="2"/>
    <x v="2"/>
    <n v="5"/>
    <n v="950.98"/>
    <n v="4754.8999999999996"/>
    <x v="1"/>
    <x v="1"/>
    <n v="7"/>
    <x v="0"/>
  </r>
  <r>
    <d v="2025-10-31T00:00:00"/>
    <x v="3"/>
    <s v="Food"/>
    <x v="1"/>
    <x v="1"/>
    <n v="19"/>
    <n v="2284.2800000000002"/>
    <n v="43401.32"/>
    <x v="1"/>
    <x v="1"/>
    <n v="6"/>
    <x v="3"/>
  </r>
  <r>
    <d v="2025-12-19T00:00:00"/>
    <x v="7"/>
    <s v="Beverage"/>
    <x v="2"/>
    <x v="1"/>
    <n v="14"/>
    <n v="885.15"/>
    <n v="12392.1"/>
    <x v="5"/>
    <x v="5"/>
    <n v="6"/>
    <x v="3"/>
  </r>
  <r>
    <d v="2025-01-21T00:00:00"/>
    <x v="5"/>
    <s v="Groceries"/>
    <x v="2"/>
    <x v="2"/>
    <n v="3"/>
    <n v="1185.47"/>
    <n v="3556.41"/>
    <x v="9"/>
    <x v="9"/>
    <n v="3"/>
    <x v="6"/>
  </r>
  <r>
    <d v="2025-12-19T00:00:00"/>
    <x v="0"/>
    <s v="Groceries"/>
    <x v="2"/>
    <x v="3"/>
    <n v="3"/>
    <n v="1473.83"/>
    <n v="4421.49"/>
    <x v="5"/>
    <x v="5"/>
    <n v="6"/>
    <x v="3"/>
  </r>
  <r>
    <d v="2025-04-13T00:00:00"/>
    <x v="9"/>
    <s v="Food"/>
    <x v="3"/>
    <x v="0"/>
    <n v="19"/>
    <n v="2872.76"/>
    <n v="54582.44"/>
    <x v="0"/>
    <x v="0"/>
    <n v="1"/>
    <x v="4"/>
  </r>
  <r>
    <d v="2025-12-06T00:00:00"/>
    <x v="2"/>
    <s v="Food"/>
    <x v="2"/>
    <x v="1"/>
    <n v="4"/>
    <n v="746.5"/>
    <n v="2986"/>
    <x v="5"/>
    <x v="5"/>
    <n v="7"/>
    <x v="0"/>
  </r>
  <r>
    <d v="2025-03-04T00:00:00"/>
    <x v="8"/>
    <s v="Beverage"/>
    <x v="0"/>
    <x v="3"/>
    <n v="15"/>
    <n v="1221.98"/>
    <n v="18329.7"/>
    <x v="10"/>
    <x v="10"/>
    <n v="3"/>
    <x v="6"/>
  </r>
  <r>
    <d v="2025-05-28T00:00:00"/>
    <x v="9"/>
    <s v="Groceries"/>
    <x v="0"/>
    <x v="2"/>
    <n v="5"/>
    <n v="4117.84"/>
    <n v="20589.2"/>
    <x v="11"/>
    <x v="11"/>
    <n v="4"/>
    <x v="1"/>
  </r>
  <r>
    <d v="2025-01-20T00:00:00"/>
    <x v="4"/>
    <s v="Beverage"/>
    <x v="1"/>
    <x v="2"/>
    <n v="6"/>
    <n v="3946.39"/>
    <n v="23678.34"/>
    <x v="9"/>
    <x v="9"/>
    <n v="2"/>
    <x v="2"/>
  </r>
  <r>
    <d v="2025-05-26T00:00:00"/>
    <x v="1"/>
    <s v="Beverage"/>
    <x v="0"/>
    <x v="0"/>
    <n v="4"/>
    <n v="784.32"/>
    <n v="3137.28"/>
    <x v="11"/>
    <x v="11"/>
    <n v="2"/>
    <x v="2"/>
  </r>
  <r>
    <d v="2025-08-03T00:00:00"/>
    <x v="5"/>
    <s v="Groceries"/>
    <x v="0"/>
    <x v="5"/>
    <n v="19"/>
    <n v="1569.55"/>
    <n v="29821.45"/>
    <x v="8"/>
    <x v="8"/>
    <n v="1"/>
    <x v="4"/>
  </r>
  <r>
    <d v="2025-06-27T00:00:00"/>
    <x v="8"/>
    <s v="Beverage"/>
    <x v="0"/>
    <x v="0"/>
    <n v="19"/>
    <n v="1061.27"/>
    <n v="20164.13"/>
    <x v="4"/>
    <x v="4"/>
    <n v="6"/>
    <x v="3"/>
  </r>
  <r>
    <d v="2025-08-26T00:00:00"/>
    <x v="0"/>
    <s v="Groceries"/>
    <x v="2"/>
    <x v="5"/>
    <n v="16"/>
    <n v="1557.21"/>
    <n v="24915.360000000001"/>
    <x v="8"/>
    <x v="8"/>
    <n v="3"/>
    <x v="6"/>
  </r>
  <r>
    <d v="2025-11-23T00:00:00"/>
    <x v="0"/>
    <s v="Food"/>
    <x v="2"/>
    <x v="3"/>
    <n v="17"/>
    <n v="1054.8699999999999"/>
    <n v="17932.79"/>
    <x v="3"/>
    <x v="3"/>
    <n v="1"/>
    <x v="4"/>
  </r>
  <r>
    <d v="2025-11-23T00:00:00"/>
    <x v="7"/>
    <s v="Groceries"/>
    <x v="1"/>
    <x v="5"/>
    <n v="5"/>
    <n v="805.01"/>
    <n v="4025.05"/>
    <x v="3"/>
    <x v="3"/>
    <n v="1"/>
    <x v="4"/>
  </r>
  <r>
    <d v="2025-07-07T00:00:00"/>
    <x v="5"/>
    <s v="Beverage"/>
    <x v="3"/>
    <x v="1"/>
    <n v="11"/>
    <n v="1834.84"/>
    <n v="20183.240000000002"/>
    <x v="6"/>
    <x v="6"/>
    <n v="2"/>
    <x v="2"/>
  </r>
  <r>
    <d v="2025-10-24T00:00:00"/>
    <x v="8"/>
    <s v="Beverage"/>
    <x v="2"/>
    <x v="5"/>
    <n v="15"/>
    <n v="1294.33"/>
    <n v="19414.95"/>
    <x v="1"/>
    <x v="1"/>
    <n v="6"/>
    <x v="3"/>
  </r>
  <r>
    <d v="2025-09-20T00:00:00"/>
    <x v="1"/>
    <s v="Food"/>
    <x v="3"/>
    <x v="5"/>
    <n v="1"/>
    <n v="814.56"/>
    <n v="814.56"/>
    <x v="7"/>
    <x v="7"/>
    <n v="7"/>
    <x v="0"/>
  </r>
  <r>
    <d v="2025-02-06T00:00:00"/>
    <x v="6"/>
    <s v="Groceries"/>
    <x v="2"/>
    <x v="1"/>
    <n v="8"/>
    <n v="18933.82"/>
    <n v="151470.56"/>
    <x v="2"/>
    <x v="2"/>
    <n v="5"/>
    <x v="5"/>
  </r>
  <r>
    <d v="2025-07-06T00:00:00"/>
    <x v="4"/>
    <s v="Groceries"/>
    <x v="2"/>
    <x v="2"/>
    <n v="3"/>
    <n v="5340.81"/>
    <n v="16022.43"/>
    <x v="6"/>
    <x v="6"/>
    <n v="1"/>
    <x v="4"/>
  </r>
  <r>
    <d v="2025-04-13T00:00:00"/>
    <x v="5"/>
    <s v="Food"/>
    <x v="1"/>
    <x v="2"/>
    <n v="6"/>
    <n v="1325.52"/>
    <n v="7953.12"/>
    <x v="0"/>
    <x v="0"/>
    <n v="1"/>
    <x v="4"/>
  </r>
  <r>
    <d v="2025-03-12T00:00:00"/>
    <x v="7"/>
    <s v="Beverage"/>
    <x v="3"/>
    <x v="1"/>
    <n v="13"/>
    <n v="894.92"/>
    <n v="11633.96"/>
    <x v="10"/>
    <x v="10"/>
    <n v="4"/>
    <x v="1"/>
  </r>
  <r>
    <d v="2025-02-14T00:00:00"/>
    <x v="7"/>
    <s v="Groceries"/>
    <x v="1"/>
    <x v="0"/>
    <n v="8"/>
    <n v="614.21"/>
    <n v="4913.68"/>
    <x v="2"/>
    <x v="2"/>
    <n v="6"/>
    <x v="3"/>
  </r>
  <r>
    <d v="2025-06-10T00:00:00"/>
    <x v="1"/>
    <s v="Beverage"/>
    <x v="3"/>
    <x v="0"/>
    <n v="2"/>
    <n v="1013.46"/>
    <n v="2026.92"/>
    <x v="4"/>
    <x v="4"/>
    <n v="3"/>
    <x v="6"/>
  </r>
  <r>
    <d v="2025-07-02T00:00:00"/>
    <x v="3"/>
    <s v="Groceries"/>
    <x v="0"/>
    <x v="5"/>
    <n v="7"/>
    <n v="2464.66"/>
    <n v="17252.62"/>
    <x v="6"/>
    <x v="6"/>
    <n v="4"/>
    <x v="1"/>
  </r>
  <r>
    <d v="2025-11-16T00:00:00"/>
    <x v="6"/>
    <s v="Food"/>
    <x v="1"/>
    <x v="1"/>
    <n v="13"/>
    <n v="15931.44"/>
    <n v="207108.72"/>
    <x v="3"/>
    <x v="3"/>
    <n v="1"/>
    <x v="4"/>
  </r>
  <r>
    <d v="2025-02-22T00:00:00"/>
    <x v="7"/>
    <s v="Food"/>
    <x v="2"/>
    <x v="3"/>
    <n v="10"/>
    <n v="841.22"/>
    <n v="8412.2000000000007"/>
    <x v="2"/>
    <x v="2"/>
    <n v="7"/>
    <x v="0"/>
  </r>
  <r>
    <d v="2025-02-23T00:00:00"/>
    <x v="0"/>
    <s v="Beverage"/>
    <x v="1"/>
    <x v="0"/>
    <n v="14"/>
    <n v="1432.23"/>
    <n v="20051.22"/>
    <x v="2"/>
    <x v="2"/>
    <n v="1"/>
    <x v="4"/>
  </r>
  <r>
    <d v="2025-11-30T00:00:00"/>
    <x v="9"/>
    <s v="Beverage"/>
    <x v="0"/>
    <x v="2"/>
    <n v="13"/>
    <n v="4375.26"/>
    <n v="56878.38"/>
    <x v="3"/>
    <x v="3"/>
    <n v="1"/>
    <x v="4"/>
  </r>
  <r>
    <d v="2025-09-20T00:00:00"/>
    <x v="3"/>
    <s v="Groceries"/>
    <x v="0"/>
    <x v="0"/>
    <n v="18"/>
    <n v="2985.67"/>
    <n v="53742.06"/>
    <x v="7"/>
    <x v="7"/>
    <n v="7"/>
    <x v="0"/>
  </r>
  <r>
    <d v="2025-05-06T00:00:00"/>
    <x v="4"/>
    <s v="Food"/>
    <x v="0"/>
    <x v="3"/>
    <n v="17"/>
    <n v="5033.3900000000003"/>
    <n v="85567.63"/>
    <x v="11"/>
    <x v="11"/>
    <n v="3"/>
    <x v="6"/>
  </r>
  <r>
    <d v="2025-06-02T00:00:00"/>
    <x v="3"/>
    <s v="Beverage"/>
    <x v="1"/>
    <x v="2"/>
    <n v="18"/>
    <n v="2450.4499999999998"/>
    <n v="44108.1"/>
    <x v="4"/>
    <x v="4"/>
    <n v="2"/>
    <x v="2"/>
  </r>
  <r>
    <d v="2025-11-20T00:00:00"/>
    <x v="4"/>
    <s v="Food"/>
    <x v="3"/>
    <x v="5"/>
    <n v="1"/>
    <n v="3889.79"/>
    <n v="3889.79"/>
    <x v="3"/>
    <x v="3"/>
    <n v="5"/>
    <x v="5"/>
  </r>
  <r>
    <d v="2025-05-16T00:00:00"/>
    <x v="3"/>
    <s v="Beverage"/>
    <x v="0"/>
    <x v="5"/>
    <n v="13"/>
    <n v="2383.58"/>
    <n v="30986.54"/>
    <x v="11"/>
    <x v="11"/>
    <n v="6"/>
    <x v="3"/>
  </r>
  <r>
    <d v="2025-07-16T00:00:00"/>
    <x v="2"/>
    <s v="Groceries"/>
    <x v="2"/>
    <x v="3"/>
    <n v="1"/>
    <n v="754.86"/>
    <n v="754.86"/>
    <x v="6"/>
    <x v="6"/>
    <n v="4"/>
    <x v="1"/>
  </r>
  <r>
    <d v="2025-08-04T00:00:00"/>
    <x v="2"/>
    <s v="Groceries"/>
    <x v="1"/>
    <x v="1"/>
    <n v="11"/>
    <n v="659.9"/>
    <n v="7258.9"/>
    <x v="8"/>
    <x v="8"/>
    <n v="2"/>
    <x v="2"/>
  </r>
  <r>
    <d v="2025-01-24T00:00:00"/>
    <x v="6"/>
    <s v="Groceries"/>
    <x v="2"/>
    <x v="3"/>
    <n v="19"/>
    <n v="16209.06"/>
    <n v="307972.14"/>
    <x v="9"/>
    <x v="9"/>
    <n v="6"/>
    <x v="3"/>
  </r>
  <r>
    <d v="2025-10-19T00:00:00"/>
    <x v="1"/>
    <s v="Food"/>
    <x v="2"/>
    <x v="2"/>
    <n v="9"/>
    <n v="887.02"/>
    <n v="7983.18"/>
    <x v="1"/>
    <x v="1"/>
    <n v="1"/>
    <x v="4"/>
  </r>
  <r>
    <d v="2025-05-25T00:00:00"/>
    <x v="7"/>
    <s v="Food"/>
    <x v="3"/>
    <x v="1"/>
    <n v="13"/>
    <n v="759.92"/>
    <n v="9878.9599999999991"/>
    <x v="11"/>
    <x v="11"/>
    <n v="1"/>
    <x v="4"/>
  </r>
  <r>
    <d v="2025-04-09T00:00:00"/>
    <x v="3"/>
    <s v="Food"/>
    <x v="2"/>
    <x v="5"/>
    <n v="1"/>
    <n v="2944.36"/>
    <n v="2944.36"/>
    <x v="0"/>
    <x v="0"/>
    <n v="4"/>
    <x v="1"/>
  </r>
  <r>
    <d v="2025-12-08T00:00:00"/>
    <x v="3"/>
    <s v="Food"/>
    <x v="3"/>
    <x v="4"/>
    <n v="18"/>
    <n v="2855.64"/>
    <n v="51401.52"/>
    <x v="5"/>
    <x v="5"/>
    <n v="2"/>
    <x v="2"/>
  </r>
  <r>
    <d v="2025-11-21T00:00:00"/>
    <x v="8"/>
    <s v="Beverage"/>
    <x v="1"/>
    <x v="2"/>
    <n v="4"/>
    <n v="751.2"/>
    <n v="3004.8"/>
    <x v="3"/>
    <x v="3"/>
    <n v="6"/>
    <x v="3"/>
  </r>
  <r>
    <d v="2025-08-22T00:00:00"/>
    <x v="7"/>
    <s v="Food"/>
    <x v="2"/>
    <x v="3"/>
    <n v="10"/>
    <n v="821.03"/>
    <n v="8210.2999999999993"/>
    <x v="8"/>
    <x v="8"/>
    <n v="6"/>
    <x v="3"/>
  </r>
  <r>
    <d v="2025-10-29T00:00:00"/>
    <x v="8"/>
    <s v="Beverage"/>
    <x v="1"/>
    <x v="1"/>
    <n v="5"/>
    <n v="1246.6400000000001"/>
    <n v="6233.2"/>
    <x v="1"/>
    <x v="1"/>
    <n v="4"/>
    <x v="1"/>
  </r>
  <r>
    <d v="2025-09-14T00:00:00"/>
    <x v="9"/>
    <s v="Food"/>
    <x v="3"/>
    <x v="0"/>
    <n v="3"/>
    <n v="3485.02"/>
    <n v="10455.06"/>
    <x v="7"/>
    <x v="7"/>
    <n v="1"/>
    <x v="4"/>
  </r>
  <r>
    <d v="2025-04-20T00:00:00"/>
    <x v="9"/>
    <s v="Food"/>
    <x v="3"/>
    <x v="4"/>
    <n v="11"/>
    <n v="4293.0600000000004"/>
    <n v="47223.66"/>
    <x v="0"/>
    <x v="0"/>
    <n v="1"/>
    <x v="4"/>
  </r>
  <r>
    <d v="2025-07-06T00:00:00"/>
    <x v="1"/>
    <s v="Beverage"/>
    <x v="2"/>
    <x v="2"/>
    <n v="16"/>
    <n v="1047.3800000000001"/>
    <n v="16758.080000000002"/>
    <x v="6"/>
    <x v="6"/>
    <n v="1"/>
    <x v="4"/>
  </r>
  <r>
    <d v="2025-04-13T00:00:00"/>
    <x v="1"/>
    <s v="Groceries"/>
    <x v="1"/>
    <x v="1"/>
    <n v="10"/>
    <n v="1045.8900000000001"/>
    <n v="10458.9"/>
    <x v="0"/>
    <x v="0"/>
    <n v="1"/>
    <x v="4"/>
  </r>
  <r>
    <d v="2025-08-09T00:00:00"/>
    <x v="4"/>
    <s v="Beverage"/>
    <x v="2"/>
    <x v="1"/>
    <n v="1"/>
    <n v="5717.08"/>
    <n v="5717.08"/>
    <x v="8"/>
    <x v="8"/>
    <n v="7"/>
    <x v="0"/>
  </r>
  <r>
    <d v="2025-01-07T00:00:00"/>
    <x v="0"/>
    <s v="Food"/>
    <x v="1"/>
    <x v="2"/>
    <n v="16"/>
    <n v="1249.03"/>
    <n v="19984.48"/>
    <x v="9"/>
    <x v="9"/>
    <n v="3"/>
    <x v="6"/>
  </r>
  <r>
    <d v="2025-05-14T00:00:00"/>
    <x v="0"/>
    <s v="Groceries"/>
    <x v="0"/>
    <x v="3"/>
    <n v="11"/>
    <n v="1437.43"/>
    <n v="15811.73"/>
    <x v="11"/>
    <x v="11"/>
    <n v="4"/>
    <x v="1"/>
  </r>
  <r>
    <d v="2025-08-04T00:00:00"/>
    <x v="2"/>
    <s v="Food"/>
    <x v="1"/>
    <x v="5"/>
    <n v="4"/>
    <n v="743.8"/>
    <n v="2975.2"/>
    <x v="8"/>
    <x v="8"/>
    <n v="2"/>
    <x v="2"/>
  </r>
  <r>
    <d v="2025-06-05T00:00:00"/>
    <x v="3"/>
    <s v="Beverage"/>
    <x v="3"/>
    <x v="1"/>
    <n v="15"/>
    <n v="1839.57"/>
    <n v="27593.55"/>
    <x v="4"/>
    <x v="4"/>
    <n v="5"/>
    <x v="5"/>
  </r>
  <r>
    <d v="2025-08-05T00:00:00"/>
    <x v="0"/>
    <s v="Beverage"/>
    <x v="3"/>
    <x v="1"/>
    <n v="5"/>
    <n v="1222.1300000000001"/>
    <n v="6110.65"/>
    <x v="8"/>
    <x v="8"/>
    <n v="3"/>
    <x v="6"/>
  </r>
  <r>
    <d v="2025-11-26T00:00:00"/>
    <x v="9"/>
    <s v="Food"/>
    <x v="2"/>
    <x v="5"/>
    <n v="12"/>
    <n v="3751.44"/>
    <n v="45017.279999999999"/>
    <x v="3"/>
    <x v="3"/>
    <n v="4"/>
    <x v="1"/>
  </r>
  <r>
    <d v="2025-01-26T00:00:00"/>
    <x v="4"/>
    <s v="Beverage"/>
    <x v="0"/>
    <x v="3"/>
    <n v="19"/>
    <n v="3940.89"/>
    <n v="74876.91"/>
    <x v="9"/>
    <x v="9"/>
    <n v="1"/>
    <x v="4"/>
  </r>
  <r>
    <d v="2025-06-29T00:00:00"/>
    <x v="2"/>
    <s v="Groceries"/>
    <x v="0"/>
    <x v="2"/>
    <n v="11"/>
    <n v="513.57000000000005"/>
    <n v="5649.27"/>
    <x v="4"/>
    <x v="4"/>
    <n v="1"/>
    <x v="4"/>
  </r>
  <r>
    <d v="2025-02-18T00:00:00"/>
    <x v="0"/>
    <s v="Beverage"/>
    <x v="3"/>
    <x v="4"/>
    <n v="15"/>
    <n v="883.65"/>
    <n v="13254.75"/>
    <x v="2"/>
    <x v="2"/>
    <n v="3"/>
    <x v="6"/>
  </r>
  <r>
    <d v="2025-06-22T00:00:00"/>
    <x v="3"/>
    <s v="Beverage"/>
    <x v="2"/>
    <x v="0"/>
    <n v="5"/>
    <n v="2495.9699999999998"/>
    <n v="12479.85"/>
    <x v="4"/>
    <x v="4"/>
    <n v="1"/>
    <x v="4"/>
  </r>
  <r>
    <d v="2025-12-26T00:00:00"/>
    <x v="2"/>
    <s v="Beverage"/>
    <x v="2"/>
    <x v="0"/>
    <n v="6"/>
    <n v="610.67999999999995"/>
    <n v="3664.08"/>
    <x v="5"/>
    <x v="5"/>
    <n v="6"/>
    <x v="3"/>
  </r>
  <r>
    <d v="2025-01-15T00:00:00"/>
    <x v="1"/>
    <s v="Food"/>
    <x v="1"/>
    <x v="1"/>
    <n v="6"/>
    <n v="778.34"/>
    <n v="4670.04"/>
    <x v="9"/>
    <x v="9"/>
    <n v="4"/>
    <x v="1"/>
  </r>
  <r>
    <d v="2025-03-26T00:00:00"/>
    <x v="3"/>
    <s v="Beverage"/>
    <x v="1"/>
    <x v="1"/>
    <n v="3"/>
    <n v="1998.62"/>
    <n v="5995.86"/>
    <x v="10"/>
    <x v="10"/>
    <n v="4"/>
    <x v="1"/>
  </r>
  <r>
    <d v="2025-04-02T00:00:00"/>
    <x v="2"/>
    <s v="Food"/>
    <x v="0"/>
    <x v="2"/>
    <n v="1"/>
    <n v="469.32"/>
    <n v="469.32"/>
    <x v="0"/>
    <x v="0"/>
    <n v="4"/>
    <x v="1"/>
  </r>
  <r>
    <d v="2025-11-26T00:00:00"/>
    <x v="3"/>
    <s v="Groceries"/>
    <x v="0"/>
    <x v="2"/>
    <n v="12"/>
    <n v="3190.94"/>
    <n v="38291.279999999999"/>
    <x v="3"/>
    <x v="3"/>
    <n v="4"/>
    <x v="1"/>
  </r>
  <r>
    <d v="2025-09-28T00:00:00"/>
    <x v="0"/>
    <s v="Groceries"/>
    <x v="3"/>
    <x v="5"/>
    <n v="12"/>
    <n v="1026.8699999999999"/>
    <n v="12322.44"/>
    <x v="7"/>
    <x v="7"/>
    <n v="1"/>
    <x v="4"/>
  </r>
  <r>
    <d v="2025-03-29T00:00:00"/>
    <x v="3"/>
    <s v="Groceries"/>
    <x v="0"/>
    <x v="0"/>
    <n v="6"/>
    <n v="2035.16"/>
    <n v="12210.96"/>
    <x v="10"/>
    <x v="10"/>
    <n v="7"/>
    <x v="0"/>
  </r>
  <r>
    <d v="2025-10-11T00:00:00"/>
    <x v="3"/>
    <s v="Food"/>
    <x v="0"/>
    <x v="5"/>
    <n v="16"/>
    <n v="3215.96"/>
    <n v="51455.360000000001"/>
    <x v="1"/>
    <x v="1"/>
    <n v="7"/>
    <x v="0"/>
  </r>
  <r>
    <d v="2025-09-03T00:00:00"/>
    <x v="2"/>
    <s v="Food"/>
    <x v="1"/>
    <x v="2"/>
    <n v="15"/>
    <n v="503.53"/>
    <n v="7552.95"/>
    <x v="7"/>
    <x v="7"/>
    <n v="4"/>
    <x v="1"/>
  </r>
  <r>
    <d v="2025-02-08T00:00:00"/>
    <x v="6"/>
    <s v="Groceries"/>
    <x v="3"/>
    <x v="0"/>
    <n v="12"/>
    <n v="10608.93"/>
    <n v="127307.16"/>
    <x v="2"/>
    <x v="2"/>
    <n v="7"/>
    <x v="0"/>
  </r>
  <r>
    <d v="2025-03-14T00:00:00"/>
    <x v="0"/>
    <s v="Food"/>
    <x v="3"/>
    <x v="4"/>
    <n v="10"/>
    <n v="1419.42"/>
    <n v="14194.2"/>
    <x v="10"/>
    <x v="10"/>
    <n v="6"/>
    <x v="3"/>
  </r>
  <r>
    <d v="2025-08-03T00:00:00"/>
    <x v="1"/>
    <s v="Beverage"/>
    <x v="0"/>
    <x v="5"/>
    <n v="5"/>
    <n v="762.74"/>
    <n v="3813.7"/>
    <x v="8"/>
    <x v="8"/>
    <n v="1"/>
    <x v="4"/>
  </r>
  <r>
    <d v="2025-12-14T00:00:00"/>
    <x v="7"/>
    <s v="Food"/>
    <x v="2"/>
    <x v="0"/>
    <n v="4"/>
    <n v="698.66"/>
    <n v="2794.64"/>
    <x v="5"/>
    <x v="5"/>
    <n v="1"/>
    <x v="4"/>
  </r>
  <r>
    <d v="2025-09-04T00:00:00"/>
    <x v="5"/>
    <s v="Groceries"/>
    <x v="1"/>
    <x v="5"/>
    <n v="1"/>
    <n v="1090.42"/>
    <n v="1090.42"/>
    <x v="7"/>
    <x v="7"/>
    <n v="5"/>
    <x v="5"/>
  </r>
  <r>
    <d v="2025-04-02T00:00:00"/>
    <x v="5"/>
    <s v="Food"/>
    <x v="0"/>
    <x v="2"/>
    <n v="3"/>
    <n v="1101.93"/>
    <n v="3305.79"/>
    <x v="0"/>
    <x v="0"/>
    <n v="4"/>
    <x v="1"/>
  </r>
  <r>
    <d v="2025-12-24T00:00:00"/>
    <x v="1"/>
    <s v="Beverage"/>
    <x v="2"/>
    <x v="0"/>
    <n v="13"/>
    <n v="765.54"/>
    <n v="9952.02"/>
    <x v="5"/>
    <x v="5"/>
    <n v="4"/>
    <x v="1"/>
  </r>
  <r>
    <d v="2025-06-29T00:00:00"/>
    <x v="3"/>
    <s v="Food"/>
    <x v="1"/>
    <x v="2"/>
    <n v="13"/>
    <n v="3211.56"/>
    <n v="41750.28"/>
    <x v="4"/>
    <x v="4"/>
    <n v="1"/>
    <x v="4"/>
  </r>
  <r>
    <d v="2025-12-08T00:00:00"/>
    <x v="1"/>
    <s v="Groceries"/>
    <x v="0"/>
    <x v="3"/>
    <n v="9"/>
    <n v="753.49"/>
    <n v="6781.41"/>
    <x v="5"/>
    <x v="5"/>
    <n v="2"/>
    <x v="2"/>
  </r>
  <r>
    <d v="2025-07-11T00:00:00"/>
    <x v="6"/>
    <s v="Beverage"/>
    <x v="1"/>
    <x v="1"/>
    <n v="9"/>
    <n v="19054.13"/>
    <n v="171487.17"/>
    <x v="6"/>
    <x v="6"/>
    <n v="6"/>
    <x v="3"/>
  </r>
  <r>
    <d v="2025-07-15T00:00:00"/>
    <x v="2"/>
    <s v="Groceries"/>
    <x v="2"/>
    <x v="5"/>
    <n v="12"/>
    <n v="693.16"/>
    <n v="8317.92"/>
    <x v="6"/>
    <x v="6"/>
    <n v="3"/>
    <x v="6"/>
  </r>
  <r>
    <d v="2025-04-18T00:00:00"/>
    <x v="5"/>
    <s v="Groceries"/>
    <x v="0"/>
    <x v="0"/>
    <n v="8"/>
    <n v="1410.85"/>
    <n v="11286.8"/>
    <x v="0"/>
    <x v="0"/>
    <n v="6"/>
    <x v="3"/>
  </r>
  <r>
    <d v="2025-05-11T00:00:00"/>
    <x v="5"/>
    <s v="Beverage"/>
    <x v="3"/>
    <x v="0"/>
    <n v="13"/>
    <n v="1582.02"/>
    <n v="20566.259999999998"/>
    <x v="11"/>
    <x v="11"/>
    <n v="1"/>
    <x v="4"/>
  </r>
  <r>
    <d v="2025-02-10T00:00:00"/>
    <x v="7"/>
    <s v="Groceries"/>
    <x v="1"/>
    <x v="2"/>
    <n v="14"/>
    <n v="594.16"/>
    <n v="8318.24"/>
    <x v="2"/>
    <x v="2"/>
    <n v="2"/>
    <x v="2"/>
  </r>
  <r>
    <d v="2025-11-19T00:00:00"/>
    <x v="1"/>
    <s v="Groceries"/>
    <x v="0"/>
    <x v="3"/>
    <n v="1"/>
    <n v="851.08"/>
    <n v="851.08"/>
    <x v="3"/>
    <x v="3"/>
    <n v="4"/>
    <x v="1"/>
  </r>
  <r>
    <d v="2025-10-06T00:00:00"/>
    <x v="2"/>
    <s v="Groceries"/>
    <x v="2"/>
    <x v="2"/>
    <n v="2"/>
    <n v="698.61"/>
    <n v="1397.22"/>
    <x v="1"/>
    <x v="1"/>
    <n v="2"/>
    <x v="2"/>
  </r>
  <r>
    <d v="2025-01-24T00:00:00"/>
    <x v="1"/>
    <s v="Groceries"/>
    <x v="1"/>
    <x v="2"/>
    <n v="17"/>
    <n v="921.11"/>
    <n v="15658.87"/>
    <x v="9"/>
    <x v="9"/>
    <n v="6"/>
    <x v="3"/>
  </r>
  <r>
    <d v="2025-09-04T00:00:00"/>
    <x v="0"/>
    <s v="Groceries"/>
    <x v="2"/>
    <x v="1"/>
    <n v="9"/>
    <n v="840.01"/>
    <n v="7560.09"/>
    <x v="7"/>
    <x v="7"/>
    <n v="5"/>
    <x v="5"/>
  </r>
  <r>
    <d v="2025-09-05T00:00:00"/>
    <x v="9"/>
    <s v="Beverage"/>
    <x v="2"/>
    <x v="3"/>
    <n v="10"/>
    <n v="2871.18"/>
    <n v="28711.8"/>
    <x v="7"/>
    <x v="7"/>
    <n v="6"/>
    <x v="3"/>
  </r>
  <r>
    <d v="2025-04-12T00:00:00"/>
    <x v="9"/>
    <s v="Food"/>
    <x v="2"/>
    <x v="2"/>
    <n v="3"/>
    <n v="4303.74"/>
    <n v="12911.22"/>
    <x v="0"/>
    <x v="0"/>
    <n v="7"/>
    <x v="0"/>
  </r>
  <r>
    <d v="2025-12-07T00:00:00"/>
    <x v="0"/>
    <s v="Beverage"/>
    <x v="0"/>
    <x v="2"/>
    <n v="15"/>
    <n v="1139.48"/>
    <n v="17092.2"/>
    <x v="5"/>
    <x v="5"/>
    <n v="1"/>
    <x v="4"/>
  </r>
  <r>
    <d v="2025-12-08T00:00:00"/>
    <x v="1"/>
    <s v="Beverage"/>
    <x v="1"/>
    <x v="1"/>
    <n v="16"/>
    <n v="1071.06"/>
    <n v="17136.96"/>
    <x v="5"/>
    <x v="5"/>
    <n v="2"/>
    <x v="2"/>
  </r>
  <r>
    <d v="2025-07-24T00:00:00"/>
    <x v="4"/>
    <s v="Beverage"/>
    <x v="3"/>
    <x v="5"/>
    <n v="15"/>
    <n v="5920.08"/>
    <n v="88801.2"/>
    <x v="6"/>
    <x v="6"/>
    <n v="5"/>
    <x v="5"/>
  </r>
  <r>
    <d v="2025-02-08T00:00:00"/>
    <x v="2"/>
    <s v="Beverage"/>
    <x v="2"/>
    <x v="1"/>
    <n v="8"/>
    <n v="657.97"/>
    <n v="5263.76"/>
    <x v="2"/>
    <x v="2"/>
    <n v="7"/>
    <x v="0"/>
  </r>
  <r>
    <d v="2025-02-28T00:00:00"/>
    <x v="5"/>
    <s v="Groceries"/>
    <x v="1"/>
    <x v="0"/>
    <n v="2"/>
    <n v="1752.57"/>
    <n v="3505.14"/>
    <x v="2"/>
    <x v="2"/>
    <n v="6"/>
    <x v="3"/>
  </r>
  <r>
    <d v="2025-01-09T00:00:00"/>
    <x v="6"/>
    <s v="Groceries"/>
    <x v="3"/>
    <x v="0"/>
    <n v="17"/>
    <n v="15913.98"/>
    <n v="270537.65999999997"/>
    <x v="9"/>
    <x v="9"/>
    <n v="5"/>
    <x v="5"/>
  </r>
  <r>
    <d v="2025-04-20T00:00:00"/>
    <x v="4"/>
    <s v="Groceries"/>
    <x v="2"/>
    <x v="1"/>
    <n v="6"/>
    <n v="5842.2"/>
    <n v="35053.199999999997"/>
    <x v="0"/>
    <x v="0"/>
    <n v="1"/>
    <x v="4"/>
  </r>
  <r>
    <d v="2025-07-09T00:00:00"/>
    <x v="4"/>
    <s v="Groceries"/>
    <x v="3"/>
    <x v="1"/>
    <n v="9"/>
    <n v="4846.4399999999996"/>
    <n v="43617.96"/>
    <x v="6"/>
    <x v="6"/>
    <n v="4"/>
    <x v="1"/>
  </r>
  <r>
    <d v="2025-07-12T00:00:00"/>
    <x v="2"/>
    <s v="Groceries"/>
    <x v="3"/>
    <x v="5"/>
    <n v="6"/>
    <n v="751.56"/>
    <n v="4509.3599999999997"/>
    <x v="6"/>
    <x v="6"/>
    <n v="7"/>
    <x v="0"/>
  </r>
  <r>
    <d v="2025-06-15T00:00:00"/>
    <x v="4"/>
    <s v="Food"/>
    <x v="1"/>
    <x v="5"/>
    <n v="9"/>
    <n v="4085.72"/>
    <n v="36771.480000000003"/>
    <x v="4"/>
    <x v="4"/>
    <n v="1"/>
    <x v="4"/>
  </r>
  <r>
    <d v="2025-05-20T00:00:00"/>
    <x v="9"/>
    <s v="Beverage"/>
    <x v="3"/>
    <x v="4"/>
    <n v="3"/>
    <n v="2699.64"/>
    <n v="8098.92"/>
    <x v="11"/>
    <x v="11"/>
    <n v="3"/>
    <x v="6"/>
  </r>
  <r>
    <d v="2025-02-18T00:00:00"/>
    <x v="5"/>
    <s v="Food"/>
    <x v="2"/>
    <x v="5"/>
    <n v="15"/>
    <n v="1506.01"/>
    <n v="22590.15"/>
    <x v="2"/>
    <x v="2"/>
    <n v="3"/>
    <x v="6"/>
  </r>
  <r>
    <d v="2025-12-17T00:00:00"/>
    <x v="0"/>
    <s v="Beverage"/>
    <x v="2"/>
    <x v="5"/>
    <n v="11"/>
    <n v="1444.08"/>
    <n v="15884.88"/>
    <x v="5"/>
    <x v="5"/>
    <n v="4"/>
    <x v="1"/>
  </r>
  <r>
    <d v="2025-03-18T00:00:00"/>
    <x v="1"/>
    <s v="Food"/>
    <x v="1"/>
    <x v="0"/>
    <n v="4"/>
    <n v="931.85"/>
    <n v="3727.4"/>
    <x v="10"/>
    <x v="10"/>
    <n v="3"/>
    <x v="6"/>
  </r>
  <r>
    <d v="2025-12-04T00:00:00"/>
    <x v="9"/>
    <s v="Food"/>
    <x v="2"/>
    <x v="3"/>
    <n v="8"/>
    <n v="2558.5"/>
    <n v="20468"/>
    <x v="5"/>
    <x v="5"/>
    <n v="5"/>
    <x v="5"/>
  </r>
  <r>
    <d v="2025-07-11T00:00:00"/>
    <x v="8"/>
    <s v="Groceries"/>
    <x v="3"/>
    <x v="1"/>
    <n v="16"/>
    <n v="1180"/>
    <n v="18880"/>
    <x v="6"/>
    <x v="6"/>
    <n v="6"/>
    <x v="3"/>
  </r>
  <r>
    <d v="2025-05-26T00:00:00"/>
    <x v="1"/>
    <s v="Food"/>
    <x v="3"/>
    <x v="4"/>
    <n v="12"/>
    <n v="786.62"/>
    <n v="9439.44"/>
    <x v="11"/>
    <x v="11"/>
    <n v="2"/>
    <x v="2"/>
  </r>
  <r>
    <d v="2025-01-22T00:00:00"/>
    <x v="7"/>
    <s v="Food"/>
    <x v="2"/>
    <x v="5"/>
    <n v="18"/>
    <n v="959.76"/>
    <n v="17275.68"/>
    <x v="9"/>
    <x v="9"/>
    <n v="4"/>
    <x v="1"/>
  </r>
  <r>
    <d v="2025-03-23T00:00:00"/>
    <x v="7"/>
    <s v="Beverage"/>
    <x v="3"/>
    <x v="4"/>
    <n v="1"/>
    <n v="823.45"/>
    <n v="823.45"/>
    <x v="10"/>
    <x v="10"/>
    <n v="1"/>
    <x v="4"/>
  </r>
  <r>
    <d v="2025-05-05T00:00:00"/>
    <x v="8"/>
    <s v="Groceries"/>
    <x v="2"/>
    <x v="5"/>
    <n v="12"/>
    <n v="1072.78"/>
    <n v="12873.36"/>
    <x v="11"/>
    <x v="11"/>
    <n v="2"/>
    <x v="2"/>
  </r>
  <r>
    <d v="2025-04-06T00:00:00"/>
    <x v="8"/>
    <s v="Food"/>
    <x v="3"/>
    <x v="1"/>
    <n v="1"/>
    <n v="871.45"/>
    <n v="871.45"/>
    <x v="0"/>
    <x v="0"/>
    <n v="1"/>
    <x v="4"/>
  </r>
  <r>
    <d v="2025-01-19T00:00:00"/>
    <x v="9"/>
    <s v="Food"/>
    <x v="0"/>
    <x v="0"/>
    <n v="15"/>
    <n v="3251.03"/>
    <n v="48765.45"/>
    <x v="9"/>
    <x v="9"/>
    <n v="1"/>
    <x v="4"/>
  </r>
  <r>
    <d v="2025-10-15T00:00:00"/>
    <x v="0"/>
    <s v="Beverage"/>
    <x v="0"/>
    <x v="5"/>
    <n v="18"/>
    <n v="1517.72"/>
    <n v="27318.959999999999"/>
    <x v="1"/>
    <x v="1"/>
    <n v="4"/>
    <x v="1"/>
  </r>
  <r>
    <d v="2025-12-26T00:00:00"/>
    <x v="4"/>
    <s v="Beverage"/>
    <x v="1"/>
    <x v="1"/>
    <n v="10"/>
    <n v="4038.09"/>
    <n v="40380.9"/>
    <x v="5"/>
    <x v="5"/>
    <n v="6"/>
    <x v="3"/>
  </r>
  <r>
    <d v="2025-01-06T00:00:00"/>
    <x v="1"/>
    <s v="Food"/>
    <x v="3"/>
    <x v="1"/>
    <n v="5"/>
    <n v="732.5"/>
    <n v="3662.5"/>
    <x v="9"/>
    <x v="9"/>
    <n v="2"/>
    <x v="2"/>
  </r>
  <r>
    <d v="2025-08-06T00:00:00"/>
    <x v="6"/>
    <s v="Groceries"/>
    <x v="0"/>
    <x v="5"/>
    <n v="10"/>
    <n v="15151.11"/>
    <n v="151511.1"/>
    <x v="8"/>
    <x v="8"/>
    <n v="4"/>
    <x v="1"/>
  </r>
  <r>
    <d v="2025-10-17T00:00:00"/>
    <x v="3"/>
    <s v="Beverage"/>
    <x v="1"/>
    <x v="0"/>
    <n v="11"/>
    <n v="2643.04"/>
    <n v="29073.439999999999"/>
    <x v="1"/>
    <x v="1"/>
    <n v="6"/>
    <x v="3"/>
  </r>
  <r>
    <d v="2025-08-06T00:00:00"/>
    <x v="9"/>
    <s v="Groceries"/>
    <x v="2"/>
    <x v="2"/>
    <n v="12"/>
    <n v="3411.85"/>
    <n v="40942.199999999997"/>
    <x v="8"/>
    <x v="8"/>
    <n v="4"/>
    <x v="1"/>
  </r>
  <r>
    <d v="2025-11-17T00:00:00"/>
    <x v="8"/>
    <s v="Beverage"/>
    <x v="1"/>
    <x v="5"/>
    <n v="6"/>
    <n v="850.54"/>
    <n v="5103.24"/>
    <x v="3"/>
    <x v="3"/>
    <n v="2"/>
    <x v="2"/>
  </r>
  <r>
    <d v="2025-09-22T00:00:00"/>
    <x v="4"/>
    <s v="Food"/>
    <x v="3"/>
    <x v="1"/>
    <n v="4"/>
    <n v="4248.57"/>
    <n v="16994.28"/>
    <x v="7"/>
    <x v="7"/>
    <n v="2"/>
    <x v="2"/>
  </r>
  <r>
    <d v="2025-09-14T00:00:00"/>
    <x v="0"/>
    <s v="Food"/>
    <x v="0"/>
    <x v="0"/>
    <n v="10"/>
    <n v="1280.83"/>
    <n v="12808.3"/>
    <x v="7"/>
    <x v="7"/>
    <n v="1"/>
    <x v="4"/>
  </r>
  <r>
    <d v="2025-11-10T00:00:00"/>
    <x v="9"/>
    <s v="Groceries"/>
    <x v="3"/>
    <x v="1"/>
    <n v="4"/>
    <n v="3922.39"/>
    <n v="15689.56"/>
    <x v="3"/>
    <x v="3"/>
    <n v="2"/>
    <x v="2"/>
  </r>
  <r>
    <d v="2025-01-25T00:00:00"/>
    <x v="6"/>
    <s v="Food"/>
    <x v="2"/>
    <x v="2"/>
    <n v="7"/>
    <n v="12777.91"/>
    <n v="89445.37"/>
    <x v="9"/>
    <x v="9"/>
    <n v="7"/>
    <x v="0"/>
  </r>
  <r>
    <d v="2025-06-12T00:00:00"/>
    <x v="7"/>
    <s v="Food"/>
    <x v="1"/>
    <x v="2"/>
    <n v="9"/>
    <n v="963.1"/>
    <n v="8667.9"/>
    <x v="4"/>
    <x v="4"/>
    <n v="5"/>
    <x v="5"/>
  </r>
  <r>
    <d v="2025-04-15T00:00:00"/>
    <x v="9"/>
    <s v="Beverage"/>
    <x v="2"/>
    <x v="0"/>
    <n v="18"/>
    <n v="4009.93"/>
    <n v="72178.740000000005"/>
    <x v="0"/>
    <x v="0"/>
    <n v="3"/>
    <x v="6"/>
  </r>
  <r>
    <d v="2025-06-26T00:00:00"/>
    <x v="7"/>
    <s v="Groceries"/>
    <x v="2"/>
    <x v="3"/>
    <n v="15"/>
    <n v="684.18"/>
    <n v="10262.700000000001"/>
    <x v="4"/>
    <x v="4"/>
    <n v="5"/>
    <x v="5"/>
  </r>
  <r>
    <d v="2025-04-02T00:00:00"/>
    <x v="4"/>
    <s v="Groceries"/>
    <x v="1"/>
    <x v="5"/>
    <n v="17"/>
    <n v="5140.63"/>
    <n v="87390.71"/>
    <x v="0"/>
    <x v="0"/>
    <n v="4"/>
    <x v="1"/>
  </r>
  <r>
    <d v="2025-02-10T00:00:00"/>
    <x v="1"/>
    <s v="Beverage"/>
    <x v="3"/>
    <x v="1"/>
    <n v="8"/>
    <n v="983.16"/>
    <n v="7865.28"/>
    <x v="2"/>
    <x v="2"/>
    <n v="2"/>
    <x v="2"/>
  </r>
  <r>
    <d v="2025-09-01T00:00:00"/>
    <x v="5"/>
    <s v="Groceries"/>
    <x v="3"/>
    <x v="4"/>
    <n v="15"/>
    <n v="1076.55"/>
    <n v="16148.25"/>
    <x v="7"/>
    <x v="7"/>
    <n v="2"/>
    <x v="2"/>
  </r>
  <r>
    <d v="2025-08-12T00:00:00"/>
    <x v="4"/>
    <s v="Beverage"/>
    <x v="2"/>
    <x v="5"/>
    <n v="16"/>
    <n v="6233.5"/>
    <n v="99736"/>
    <x v="8"/>
    <x v="8"/>
    <n v="3"/>
    <x v="6"/>
  </r>
  <r>
    <d v="2025-07-21T00:00:00"/>
    <x v="3"/>
    <s v="Groceries"/>
    <x v="1"/>
    <x v="0"/>
    <n v="1"/>
    <n v="2759.31"/>
    <n v="2759.31"/>
    <x v="6"/>
    <x v="6"/>
    <n v="2"/>
    <x v="2"/>
  </r>
  <r>
    <d v="2025-12-03T00:00:00"/>
    <x v="5"/>
    <s v="Beverage"/>
    <x v="1"/>
    <x v="5"/>
    <n v="4"/>
    <n v="1889.44"/>
    <n v="7557.76"/>
    <x v="5"/>
    <x v="5"/>
    <n v="4"/>
    <x v="1"/>
  </r>
  <r>
    <d v="2025-03-17T00:00:00"/>
    <x v="2"/>
    <s v="Beverage"/>
    <x v="0"/>
    <x v="0"/>
    <n v="6"/>
    <n v="687.44"/>
    <n v="4124.6400000000003"/>
    <x v="10"/>
    <x v="10"/>
    <n v="2"/>
    <x v="2"/>
  </r>
  <r>
    <d v="2025-03-31T00:00:00"/>
    <x v="2"/>
    <s v="Groceries"/>
    <x v="1"/>
    <x v="0"/>
    <n v="17"/>
    <n v="751.48"/>
    <n v="12775.16"/>
    <x v="10"/>
    <x v="10"/>
    <n v="2"/>
    <x v="2"/>
  </r>
  <r>
    <d v="2025-04-16T00:00:00"/>
    <x v="4"/>
    <s v="Groceries"/>
    <x v="2"/>
    <x v="2"/>
    <n v="1"/>
    <n v="6186.04"/>
    <n v="6186.04"/>
    <x v="0"/>
    <x v="0"/>
    <n v="4"/>
    <x v="1"/>
  </r>
  <r>
    <d v="2025-05-16T00:00:00"/>
    <x v="3"/>
    <s v="Groceries"/>
    <x v="2"/>
    <x v="0"/>
    <n v="11"/>
    <n v="2706.93"/>
    <n v="29776.23"/>
    <x v="11"/>
    <x v="11"/>
    <n v="6"/>
    <x v="3"/>
  </r>
  <r>
    <d v="2025-08-17T00:00:00"/>
    <x v="1"/>
    <s v="Beverage"/>
    <x v="3"/>
    <x v="5"/>
    <n v="5"/>
    <n v="1053.3499999999999"/>
    <n v="5266.75"/>
    <x v="8"/>
    <x v="8"/>
    <n v="1"/>
    <x v="4"/>
  </r>
  <r>
    <d v="2025-01-18T00:00:00"/>
    <x v="3"/>
    <s v="Groceries"/>
    <x v="1"/>
    <x v="5"/>
    <n v="13"/>
    <n v="2201.5700000000002"/>
    <n v="28620.41"/>
    <x v="9"/>
    <x v="9"/>
    <n v="7"/>
    <x v="0"/>
  </r>
  <r>
    <d v="2025-09-12T00:00:00"/>
    <x v="5"/>
    <s v="Food"/>
    <x v="0"/>
    <x v="2"/>
    <n v="15"/>
    <n v="1302.93"/>
    <n v="19543.95"/>
    <x v="7"/>
    <x v="7"/>
    <n v="6"/>
    <x v="3"/>
  </r>
  <r>
    <d v="2025-01-03T00:00:00"/>
    <x v="9"/>
    <s v="Beverage"/>
    <x v="2"/>
    <x v="3"/>
    <n v="6"/>
    <n v="2784.93"/>
    <n v="16709.580000000002"/>
    <x v="9"/>
    <x v="9"/>
    <n v="6"/>
    <x v="3"/>
  </r>
  <r>
    <d v="2025-05-12T00:00:00"/>
    <x v="6"/>
    <s v="Beverage"/>
    <x v="3"/>
    <x v="1"/>
    <n v="18"/>
    <n v="18435.22"/>
    <n v="331833.96000000002"/>
    <x v="11"/>
    <x v="11"/>
    <n v="2"/>
    <x v="2"/>
  </r>
  <r>
    <d v="2025-04-18T00:00:00"/>
    <x v="0"/>
    <s v="Groceries"/>
    <x v="0"/>
    <x v="2"/>
    <n v="5"/>
    <n v="845.73"/>
    <n v="4228.6499999999996"/>
    <x v="0"/>
    <x v="0"/>
    <n v="6"/>
    <x v="3"/>
  </r>
  <r>
    <d v="2025-05-19T00:00:00"/>
    <x v="2"/>
    <s v="Beverage"/>
    <x v="0"/>
    <x v="3"/>
    <n v="13"/>
    <n v="530.80999999999995"/>
    <n v="6900.53"/>
    <x v="11"/>
    <x v="11"/>
    <n v="2"/>
    <x v="2"/>
  </r>
  <r>
    <d v="2025-02-01T00:00:00"/>
    <x v="5"/>
    <s v="Food"/>
    <x v="3"/>
    <x v="0"/>
    <n v="17"/>
    <n v="1505.07"/>
    <n v="25586.19"/>
    <x v="2"/>
    <x v="2"/>
    <n v="7"/>
    <x v="0"/>
  </r>
  <r>
    <d v="2025-10-21T00:00:00"/>
    <x v="6"/>
    <s v="Food"/>
    <x v="2"/>
    <x v="1"/>
    <n v="9"/>
    <n v="11198.77"/>
    <n v="100788.93"/>
    <x v="1"/>
    <x v="1"/>
    <n v="3"/>
    <x v="6"/>
  </r>
  <r>
    <d v="2025-04-18T00:00:00"/>
    <x v="7"/>
    <s v="Groceries"/>
    <x v="1"/>
    <x v="2"/>
    <n v="5"/>
    <n v="884.93"/>
    <n v="4424.6499999999996"/>
    <x v="0"/>
    <x v="0"/>
    <n v="6"/>
    <x v="3"/>
  </r>
  <r>
    <d v="2025-03-16T00:00:00"/>
    <x v="5"/>
    <s v="Groceries"/>
    <x v="1"/>
    <x v="2"/>
    <n v="9"/>
    <n v="1194.33"/>
    <n v="10748.97"/>
    <x v="10"/>
    <x v="10"/>
    <n v="1"/>
    <x v="4"/>
  </r>
  <r>
    <d v="2025-06-13T00:00:00"/>
    <x v="5"/>
    <s v="Food"/>
    <x v="3"/>
    <x v="4"/>
    <n v="15"/>
    <n v="1490.44"/>
    <n v="22356.6"/>
    <x v="4"/>
    <x v="4"/>
    <n v="6"/>
    <x v="3"/>
  </r>
  <r>
    <d v="2025-02-14T00:00:00"/>
    <x v="6"/>
    <s v="Groceries"/>
    <x v="3"/>
    <x v="1"/>
    <n v="2"/>
    <n v="15287"/>
    <n v="30574"/>
    <x v="2"/>
    <x v="2"/>
    <n v="6"/>
    <x v="3"/>
  </r>
  <r>
    <d v="2025-04-17T00:00:00"/>
    <x v="3"/>
    <s v="Beverage"/>
    <x v="1"/>
    <x v="2"/>
    <n v="17"/>
    <n v="2371.3000000000002"/>
    <n v="40312.1"/>
    <x v="0"/>
    <x v="0"/>
    <n v="5"/>
    <x v="5"/>
  </r>
  <r>
    <d v="2025-05-01T00:00:00"/>
    <x v="1"/>
    <s v="Groceries"/>
    <x v="3"/>
    <x v="5"/>
    <n v="4"/>
    <n v="693.94"/>
    <n v="2775.76"/>
    <x v="11"/>
    <x v="11"/>
    <n v="5"/>
    <x v="5"/>
  </r>
  <r>
    <d v="2025-08-21T00:00:00"/>
    <x v="5"/>
    <s v="Groceries"/>
    <x v="0"/>
    <x v="5"/>
    <n v="15"/>
    <n v="1724.45"/>
    <n v="25866.75"/>
    <x v="8"/>
    <x v="8"/>
    <n v="5"/>
    <x v="5"/>
  </r>
  <r>
    <d v="2025-05-31T00:00:00"/>
    <x v="2"/>
    <s v="Groceries"/>
    <x v="2"/>
    <x v="3"/>
    <n v="15"/>
    <n v="691.39"/>
    <n v="10370.85"/>
    <x v="11"/>
    <x v="11"/>
    <n v="7"/>
    <x v="0"/>
  </r>
  <r>
    <d v="2025-01-19T00:00:00"/>
    <x v="7"/>
    <s v="Beverage"/>
    <x v="3"/>
    <x v="0"/>
    <n v="1"/>
    <n v="657.76"/>
    <n v="657.76"/>
    <x v="9"/>
    <x v="9"/>
    <n v="1"/>
    <x v="4"/>
  </r>
  <r>
    <d v="2025-12-19T00:00:00"/>
    <x v="7"/>
    <s v="Food"/>
    <x v="1"/>
    <x v="2"/>
    <n v="2"/>
    <n v="570.63"/>
    <n v="1141.26"/>
    <x v="5"/>
    <x v="5"/>
    <n v="6"/>
    <x v="3"/>
  </r>
  <r>
    <d v="2025-08-26T00:00:00"/>
    <x v="6"/>
    <s v="Food"/>
    <x v="3"/>
    <x v="1"/>
    <n v="7"/>
    <n v="11785.58"/>
    <n v="82499.06"/>
    <x v="8"/>
    <x v="8"/>
    <n v="3"/>
    <x v="6"/>
  </r>
  <r>
    <d v="2025-10-08T00:00:00"/>
    <x v="6"/>
    <s v="Groceries"/>
    <x v="2"/>
    <x v="1"/>
    <n v="17"/>
    <n v="16610.080000000002"/>
    <n v="282371.36"/>
    <x v="1"/>
    <x v="1"/>
    <n v="4"/>
    <x v="1"/>
  </r>
  <r>
    <d v="2025-11-09T00:00:00"/>
    <x v="6"/>
    <s v="Groceries"/>
    <x v="2"/>
    <x v="3"/>
    <n v="17"/>
    <n v="16002.03"/>
    <n v="272034.51"/>
    <x v="3"/>
    <x v="3"/>
    <n v="1"/>
    <x v="4"/>
  </r>
  <r>
    <d v="2025-06-19T00:00:00"/>
    <x v="4"/>
    <s v="Groceries"/>
    <x v="2"/>
    <x v="5"/>
    <n v="15"/>
    <n v="6156.86"/>
    <n v="92352.9"/>
    <x v="4"/>
    <x v="4"/>
    <n v="5"/>
    <x v="5"/>
  </r>
  <r>
    <d v="2025-10-08T00:00:00"/>
    <x v="4"/>
    <s v="Beverage"/>
    <x v="3"/>
    <x v="1"/>
    <n v="1"/>
    <n v="4895.17"/>
    <n v="4895.17"/>
    <x v="1"/>
    <x v="1"/>
    <n v="4"/>
    <x v="1"/>
  </r>
  <r>
    <d v="2025-03-26T00:00:00"/>
    <x v="4"/>
    <s v="Groceries"/>
    <x v="3"/>
    <x v="5"/>
    <n v="9"/>
    <n v="5094.7299999999996"/>
    <n v="45852.57"/>
    <x v="10"/>
    <x v="10"/>
    <n v="4"/>
    <x v="1"/>
  </r>
  <r>
    <d v="2025-12-04T00:00:00"/>
    <x v="7"/>
    <s v="Beverage"/>
    <x v="2"/>
    <x v="1"/>
    <n v="15"/>
    <n v="783.83"/>
    <n v="11757.45"/>
    <x v="5"/>
    <x v="5"/>
    <n v="5"/>
    <x v="5"/>
  </r>
  <r>
    <d v="2025-06-29T00:00:00"/>
    <x v="4"/>
    <s v="Beverage"/>
    <x v="0"/>
    <x v="0"/>
    <n v="8"/>
    <n v="6132.05"/>
    <n v="49056.4"/>
    <x v="4"/>
    <x v="4"/>
    <n v="1"/>
    <x v="4"/>
  </r>
  <r>
    <d v="2025-07-22T00:00:00"/>
    <x v="4"/>
    <s v="Groceries"/>
    <x v="3"/>
    <x v="4"/>
    <n v="17"/>
    <n v="3722.32"/>
    <n v="63279.44"/>
    <x v="6"/>
    <x v="6"/>
    <n v="3"/>
    <x v="6"/>
  </r>
  <r>
    <d v="2025-11-17T00:00:00"/>
    <x v="9"/>
    <s v="Groceries"/>
    <x v="3"/>
    <x v="1"/>
    <n v="10"/>
    <n v="3124.44"/>
    <n v="31244.400000000001"/>
    <x v="3"/>
    <x v="3"/>
    <n v="2"/>
    <x v="2"/>
  </r>
  <r>
    <d v="2025-12-04T00:00:00"/>
    <x v="7"/>
    <s v="Beverage"/>
    <x v="1"/>
    <x v="5"/>
    <n v="4"/>
    <n v="782.83"/>
    <n v="3131.32"/>
    <x v="5"/>
    <x v="5"/>
    <n v="5"/>
    <x v="5"/>
  </r>
  <r>
    <d v="2025-11-26T00:00:00"/>
    <x v="1"/>
    <s v="Groceries"/>
    <x v="0"/>
    <x v="5"/>
    <n v="11"/>
    <n v="1078.94"/>
    <n v="11868.34"/>
    <x v="3"/>
    <x v="3"/>
    <n v="4"/>
    <x v="1"/>
  </r>
  <r>
    <d v="2025-09-12T00:00:00"/>
    <x v="6"/>
    <s v="Food"/>
    <x v="3"/>
    <x v="4"/>
    <n v="2"/>
    <n v="17455.29"/>
    <n v="34910.58"/>
    <x v="7"/>
    <x v="7"/>
    <n v="6"/>
    <x v="3"/>
  </r>
  <r>
    <d v="2025-07-25T00:00:00"/>
    <x v="4"/>
    <s v="Food"/>
    <x v="1"/>
    <x v="0"/>
    <n v="5"/>
    <n v="5063.22"/>
    <n v="25316.1"/>
    <x v="6"/>
    <x v="6"/>
    <n v="6"/>
    <x v="3"/>
  </r>
  <r>
    <d v="2025-11-13T00:00:00"/>
    <x v="5"/>
    <s v="Beverage"/>
    <x v="3"/>
    <x v="1"/>
    <n v="3"/>
    <n v="1654.04"/>
    <n v="4962.12"/>
    <x v="3"/>
    <x v="3"/>
    <n v="5"/>
    <x v="5"/>
  </r>
  <r>
    <d v="2025-07-10T00:00:00"/>
    <x v="5"/>
    <s v="Food"/>
    <x v="0"/>
    <x v="2"/>
    <n v="6"/>
    <n v="1724.98"/>
    <n v="10349.879999999999"/>
    <x v="6"/>
    <x v="6"/>
    <n v="5"/>
    <x v="5"/>
  </r>
  <r>
    <d v="2025-08-02T00:00:00"/>
    <x v="7"/>
    <s v="Food"/>
    <x v="3"/>
    <x v="0"/>
    <n v="4"/>
    <n v="969.24"/>
    <n v="3876.96"/>
    <x v="8"/>
    <x v="8"/>
    <n v="7"/>
    <x v="0"/>
  </r>
  <r>
    <d v="2025-09-01T00:00:00"/>
    <x v="9"/>
    <s v="Beverage"/>
    <x v="1"/>
    <x v="2"/>
    <n v="10"/>
    <n v="3321.44"/>
    <n v="33214.400000000001"/>
    <x v="7"/>
    <x v="7"/>
    <n v="2"/>
    <x v="2"/>
  </r>
  <r>
    <d v="2025-09-23T00:00:00"/>
    <x v="9"/>
    <s v="Groceries"/>
    <x v="2"/>
    <x v="1"/>
    <n v="2"/>
    <n v="3342.19"/>
    <n v="6684.38"/>
    <x v="7"/>
    <x v="7"/>
    <n v="3"/>
    <x v="6"/>
  </r>
  <r>
    <d v="2025-07-22T00:00:00"/>
    <x v="1"/>
    <s v="Groceries"/>
    <x v="0"/>
    <x v="3"/>
    <n v="2"/>
    <n v="702.17"/>
    <n v="1404.34"/>
    <x v="6"/>
    <x v="6"/>
    <n v="3"/>
    <x v="6"/>
  </r>
  <r>
    <d v="2025-12-11T00:00:00"/>
    <x v="5"/>
    <s v="Beverage"/>
    <x v="1"/>
    <x v="2"/>
    <n v="6"/>
    <n v="1529.93"/>
    <n v="9179.58"/>
    <x v="5"/>
    <x v="5"/>
    <n v="5"/>
    <x v="5"/>
  </r>
  <r>
    <d v="2025-07-13T00:00:00"/>
    <x v="9"/>
    <s v="Groceries"/>
    <x v="1"/>
    <x v="1"/>
    <n v="1"/>
    <n v="3560.32"/>
    <n v="3560.32"/>
    <x v="6"/>
    <x v="6"/>
    <n v="1"/>
    <x v="4"/>
  </r>
  <r>
    <d v="2025-06-04T00:00:00"/>
    <x v="8"/>
    <s v="Beverage"/>
    <x v="1"/>
    <x v="1"/>
    <n v="4"/>
    <n v="1194.26"/>
    <n v="4777.04"/>
    <x v="4"/>
    <x v="4"/>
    <n v="4"/>
    <x v="1"/>
  </r>
  <r>
    <d v="2025-03-14T00:00:00"/>
    <x v="5"/>
    <s v="Food"/>
    <x v="0"/>
    <x v="2"/>
    <n v="6"/>
    <n v="1758.04"/>
    <n v="10548.24"/>
    <x v="10"/>
    <x v="10"/>
    <n v="6"/>
    <x v="3"/>
  </r>
  <r>
    <d v="2025-12-22T00:00:00"/>
    <x v="0"/>
    <s v="Food"/>
    <x v="3"/>
    <x v="1"/>
    <n v="5"/>
    <n v="1026.9000000000001"/>
    <n v="5134.5"/>
    <x v="5"/>
    <x v="5"/>
    <n v="2"/>
    <x v="2"/>
  </r>
  <r>
    <d v="2025-03-10T00:00:00"/>
    <x v="8"/>
    <s v="Groceries"/>
    <x v="0"/>
    <x v="3"/>
    <n v="14"/>
    <n v="1100.1099999999999"/>
    <n v="15401.54"/>
    <x v="10"/>
    <x v="10"/>
    <n v="2"/>
    <x v="2"/>
  </r>
  <r>
    <d v="2025-08-04T00:00:00"/>
    <x v="2"/>
    <s v="Beverage"/>
    <x v="0"/>
    <x v="3"/>
    <n v="7"/>
    <n v="778.62"/>
    <n v="5450.34"/>
    <x v="8"/>
    <x v="8"/>
    <n v="2"/>
    <x v="2"/>
  </r>
  <r>
    <d v="2025-08-17T00:00:00"/>
    <x v="3"/>
    <s v="Beverage"/>
    <x v="3"/>
    <x v="5"/>
    <n v="1"/>
    <n v="2615.0500000000002"/>
    <n v="2615.0500000000002"/>
    <x v="8"/>
    <x v="8"/>
    <n v="1"/>
    <x v="4"/>
  </r>
  <r>
    <d v="2025-09-12T00:00:00"/>
    <x v="9"/>
    <s v="Groceries"/>
    <x v="3"/>
    <x v="4"/>
    <n v="11"/>
    <n v="4410.5"/>
    <n v="48515.5"/>
    <x v="7"/>
    <x v="7"/>
    <n v="6"/>
    <x v="3"/>
  </r>
  <r>
    <d v="2025-03-31T00:00:00"/>
    <x v="1"/>
    <s v="Groceries"/>
    <x v="2"/>
    <x v="5"/>
    <n v="3"/>
    <n v="938.43"/>
    <n v="2815.29"/>
    <x v="10"/>
    <x v="10"/>
    <n v="2"/>
    <x v="2"/>
  </r>
  <r>
    <d v="2025-09-09T00:00:00"/>
    <x v="6"/>
    <s v="Groceries"/>
    <x v="3"/>
    <x v="5"/>
    <n v="19"/>
    <n v="14154.11"/>
    <n v="268928.09000000003"/>
    <x v="7"/>
    <x v="7"/>
    <n v="3"/>
    <x v="6"/>
  </r>
  <r>
    <d v="2025-10-30T00:00:00"/>
    <x v="8"/>
    <s v="Groceries"/>
    <x v="1"/>
    <x v="0"/>
    <n v="17"/>
    <n v="1157.3800000000001"/>
    <n v="19675.46"/>
    <x v="1"/>
    <x v="1"/>
    <n v="5"/>
    <x v="5"/>
  </r>
  <r>
    <d v="2025-07-01T00:00:00"/>
    <x v="1"/>
    <s v="Groceries"/>
    <x v="0"/>
    <x v="3"/>
    <n v="10"/>
    <n v="840.92"/>
    <n v="8409.2000000000007"/>
    <x v="6"/>
    <x v="6"/>
    <n v="3"/>
    <x v="6"/>
  </r>
  <r>
    <d v="2025-03-08T00:00:00"/>
    <x v="7"/>
    <s v="Groceries"/>
    <x v="1"/>
    <x v="0"/>
    <n v="11"/>
    <n v="837.84"/>
    <n v="9216.24"/>
    <x v="10"/>
    <x v="10"/>
    <n v="7"/>
    <x v="0"/>
  </r>
  <r>
    <d v="2025-02-17T00:00:00"/>
    <x v="7"/>
    <s v="Groceries"/>
    <x v="3"/>
    <x v="5"/>
    <n v="14"/>
    <n v="738.31"/>
    <n v="10336.34"/>
    <x v="2"/>
    <x v="2"/>
    <n v="2"/>
    <x v="2"/>
  </r>
  <r>
    <d v="2025-01-28T00:00:00"/>
    <x v="8"/>
    <s v="Groceries"/>
    <x v="0"/>
    <x v="3"/>
    <n v="19"/>
    <n v="965.84"/>
    <n v="18350.96"/>
    <x v="9"/>
    <x v="9"/>
    <n v="3"/>
    <x v="6"/>
  </r>
  <r>
    <d v="2025-02-19T00:00:00"/>
    <x v="0"/>
    <s v="Beverage"/>
    <x v="2"/>
    <x v="0"/>
    <n v="6"/>
    <n v="1267.07"/>
    <n v="7602.42"/>
    <x v="2"/>
    <x v="2"/>
    <n v="4"/>
    <x v="1"/>
  </r>
  <r>
    <d v="2025-07-21T00:00:00"/>
    <x v="3"/>
    <s v="Groceries"/>
    <x v="0"/>
    <x v="0"/>
    <n v="11"/>
    <n v="2001.04"/>
    <n v="22011.439999999999"/>
    <x v="6"/>
    <x v="6"/>
    <n v="2"/>
    <x v="2"/>
  </r>
  <r>
    <d v="2025-05-12T00:00:00"/>
    <x v="5"/>
    <s v="Food"/>
    <x v="0"/>
    <x v="3"/>
    <n v="9"/>
    <n v="1112.82"/>
    <n v="10015.379999999999"/>
    <x v="11"/>
    <x v="11"/>
    <n v="2"/>
    <x v="2"/>
  </r>
  <r>
    <d v="2025-12-04T00:00:00"/>
    <x v="6"/>
    <s v="Groceries"/>
    <x v="3"/>
    <x v="1"/>
    <n v="15"/>
    <n v="12337.5"/>
    <n v="185062.5"/>
    <x v="5"/>
    <x v="5"/>
    <n v="5"/>
    <x v="5"/>
  </r>
  <r>
    <d v="2025-08-01T00:00:00"/>
    <x v="3"/>
    <s v="Groceries"/>
    <x v="2"/>
    <x v="1"/>
    <n v="14"/>
    <n v="2004.59"/>
    <n v="28064.26"/>
    <x v="8"/>
    <x v="8"/>
    <n v="6"/>
    <x v="3"/>
  </r>
  <r>
    <d v="2025-04-21T00:00:00"/>
    <x v="6"/>
    <s v="Groceries"/>
    <x v="0"/>
    <x v="5"/>
    <n v="15"/>
    <n v="18043.39"/>
    <n v="270650.84999999998"/>
    <x v="0"/>
    <x v="0"/>
    <n v="2"/>
    <x v="2"/>
  </r>
  <r>
    <d v="2025-04-27T00:00:00"/>
    <x v="0"/>
    <s v="Beverage"/>
    <x v="1"/>
    <x v="5"/>
    <n v="13"/>
    <n v="950.66"/>
    <n v="12358.58"/>
    <x v="0"/>
    <x v="0"/>
    <n v="1"/>
    <x v="4"/>
  </r>
  <r>
    <d v="2025-10-19T00:00:00"/>
    <x v="6"/>
    <s v="Beverage"/>
    <x v="1"/>
    <x v="2"/>
    <n v="11"/>
    <n v="15835.56"/>
    <n v="174191.16"/>
    <x v="1"/>
    <x v="1"/>
    <n v="1"/>
    <x v="4"/>
  </r>
  <r>
    <d v="2025-10-25T00:00:00"/>
    <x v="9"/>
    <s v="Food"/>
    <x v="3"/>
    <x v="0"/>
    <n v="17"/>
    <n v="3724.38"/>
    <n v="63314.46"/>
    <x v="1"/>
    <x v="1"/>
    <n v="7"/>
    <x v="0"/>
  </r>
  <r>
    <d v="2025-04-25T00:00:00"/>
    <x v="5"/>
    <s v="Beverage"/>
    <x v="1"/>
    <x v="5"/>
    <n v="7"/>
    <n v="1501.42"/>
    <n v="10509.94"/>
    <x v="0"/>
    <x v="0"/>
    <n v="6"/>
    <x v="3"/>
  </r>
  <r>
    <d v="2025-08-26T00:00:00"/>
    <x v="2"/>
    <s v="Groceries"/>
    <x v="2"/>
    <x v="3"/>
    <n v="3"/>
    <n v="492.2"/>
    <n v="1476.6"/>
    <x v="8"/>
    <x v="8"/>
    <n v="3"/>
    <x v="6"/>
  </r>
  <r>
    <d v="2025-10-19T00:00:00"/>
    <x v="1"/>
    <s v="Food"/>
    <x v="0"/>
    <x v="3"/>
    <n v="8"/>
    <n v="1138.02"/>
    <n v="9104.16"/>
    <x v="1"/>
    <x v="1"/>
    <n v="1"/>
    <x v="4"/>
  </r>
  <r>
    <d v="2025-08-09T00:00:00"/>
    <x v="0"/>
    <s v="Groceries"/>
    <x v="2"/>
    <x v="2"/>
    <n v="17"/>
    <n v="1321.9"/>
    <n v="22472.3"/>
    <x v="8"/>
    <x v="8"/>
    <n v="7"/>
    <x v="0"/>
  </r>
  <r>
    <d v="2025-10-24T00:00:00"/>
    <x v="7"/>
    <s v="Beverage"/>
    <x v="0"/>
    <x v="0"/>
    <n v="18"/>
    <n v="759.78"/>
    <n v="13676.04"/>
    <x v="1"/>
    <x v="1"/>
    <n v="6"/>
    <x v="3"/>
  </r>
  <r>
    <d v="2025-02-27T00:00:00"/>
    <x v="3"/>
    <s v="Groceries"/>
    <x v="3"/>
    <x v="0"/>
    <n v="6"/>
    <n v="3163.58"/>
    <n v="18981.48"/>
    <x v="2"/>
    <x v="2"/>
    <n v="5"/>
    <x v="5"/>
  </r>
  <r>
    <d v="2025-02-21T00:00:00"/>
    <x v="8"/>
    <s v="Groceries"/>
    <x v="2"/>
    <x v="3"/>
    <n v="8"/>
    <n v="768.66"/>
    <n v="6149.28"/>
    <x v="2"/>
    <x v="2"/>
    <n v="6"/>
    <x v="3"/>
  </r>
  <r>
    <d v="2025-08-23T00:00:00"/>
    <x v="2"/>
    <s v="Groceries"/>
    <x v="3"/>
    <x v="5"/>
    <n v="14"/>
    <n v="647.01"/>
    <n v="9058.14"/>
    <x v="8"/>
    <x v="8"/>
    <n v="7"/>
    <x v="0"/>
  </r>
  <r>
    <d v="2025-04-02T00:00:00"/>
    <x v="2"/>
    <s v="Beverage"/>
    <x v="0"/>
    <x v="2"/>
    <n v="17"/>
    <n v="547.33000000000004"/>
    <n v="9304.61"/>
    <x v="0"/>
    <x v="0"/>
    <n v="4"/>
    <x v="1"/>
  </r>
  <r>
    <d v="2025-01-13T00:00:00"/>
    <x v="0"/>
    <s v="Food"/>
    <x v="1"/>
    <x v="2"/>
    <n v="18"/>
    <n v="1086.7"/>
    <n v="19560.599999999999"/>
    <x v="9"/>
    <x v="9"/>
    <n v="2"/>
    <x v="2"/>
  </r>
  <r>
    <d v="2025-12-09T00:00:00"/>
    <x v="2"/>
    <s v="Groceries"/>
    <x v="1"/>
    <x v="0"/>
    <n v="11"/>
    <n v="622.83000000000004"/>
    <n v="6851.13"/>
    <x v="5"/>
    <x v="5"/>
    <n v="3"/>
    <x v="6"/>
  </r>
  <r>
    <d v="2025-04-05T00:00:00"/>
    <x v="8"/>
    <s v="Beverage"/>
    <x v="1"/>
    <x v="5"/>
    <n v="12"/>
    <n v="864.18"/>
    <n v="10370.16"/>
    <x v="0"/>
    <x v="0"/>
    <n v="7"/>
    <x v="0"/>
  </r>
  <r>
    <d v="2025-12-08T00:00:00"/>
    <x v="6"/>
    <s v="Food"/>
    <x v="0"/>
    <x v="0"/>
    <n v="10"/>
    <n v="13037.27"/>
    <n v="130372.7"/>
    <x v="5"/>
    <x v="5"/>
    <n v="2"/>
    <x v="2"/>
  </r>
  <r>
    <d v="2025-08-13T00:00:00"/>
    <x v="4"/>
    <s v="Beverage"/>
    <x v="2"/>
    <x v="3"/>
    <n v="16"/>
    <n v="5141.71"/>
    <n v="82267.360000000001"/>
    <x v="8"/>
    <x v="8"/>
    <n v="4"/>
    <x v="1"/>
  </r>
  <r>
    <d v="2025-04-15T00:00:00"/>
    <x v="5"/>
    <s v="Groceries"/>
    <x v="2"/>
    <x v="3"/>
    <n v="9"/>
    <n v="1896.38"/>
    <n v="17067.419999999998"/>
    <x v="0"/>
    <x v="0"/>
    <n v="3"/>
    <x v="6"/>
  </r>
  <r>
    <d v="2025-08-05T00:00:00"/>
    <x v="8"/>
    <s v="Beverage"/>
    <x v="2"/>
    <x v="3"/>
    <n v="12"/>
    <n v="989.91"/>
    <n v="11878.92"/>
    <x v="8"/>
    <x v="8"/>
    <n v="3"/>
    <x v="6"/>
  </r>
  <r>
    <d v="2025-07-29T00:00:00"/>
    <x v="5"/>
    <s v="Food"/>
    <x v="0"/>
    <x v="0"/>
    <n v="16"/>
    <n v="1345.41"/>
    <n v="21526.560000000001"/>
    <x v="6"/>
    <x v="6"/>
    <n v="3"/>
    <x v="6"/>
  </r>
  <r>
    <d v="2025-07-14T00:00:00"/>
    <x v="4"/>
    <s v="Beverage"/>
    <x v="3"/>
    <x v="1"/>
    <n v="13"/>
    <n v="6354.33"/>
    <n v="82606.289999999994"/>
    <x v="6"/>
    <x v="6"/>
    <n v="2"/>
    <x v="2"/>
  </r>
  <r>
    <d v="2025-08-16T00:00:00"/>
    <x v="9"/>
    <s v="Groceries"/>
    <x v="2"/>
    <x v="3"/>
    <n v="14"/>
    <n v="3803.97"/>
    <n v="53255.58"/>
    <x v="8"/>
    <x v="8"/>
    <n v="7"/>
    <x v="0"/>
  </r>
  <r>
    <d v="2025-05-11T00:00:00"/>
    <x v="5"/>
    <s v="Food"/>
    <x v="2"/>
    <x v="5"/>
    <n v="6"/>
    <n v="1168.49"/>
    <n v="7010.94"/>
    <x v="11"/>
    <x v="11"/>
    <n v="1"/>
    <x v="4"/>
  </r>
  <r>
    <d v="2025-04-29T00:00:00"/>
    <x v="8"/>
    <s v="Beverage"/>
    <x v="0"/>
    <x v="2"/>
    <n v="3"/>
    <n v="809.7"/>
    <n v="2429.1"/>
    <x v="0"/>
    <x v="0"/>
    <n v="3"/>
    <x v="6"/>
  </r>
  <r>
    <d v="2025-08-13T00:00:00"/>
    <x v="9"/>
    <s v="Food"/>
    <x v="1"/>
    <x v="2"/>
    <n v="6"/>
    <n v="3236.55"/>
    <n v="19419.3"/>
    <x v="8"/>
    <x v="8"/>
    <n v="4"/>
    <x v="1"/>
  </r>
  <r>
    <d v="2025-04-08T00:00:00"/>
    <x v="1"/>
    <s v="Groceries"/>
    <x v="3"/>
    <x v="5"/>
    <n v="12"/>
    <n v="930.66"/>
    <n v="11167.92"/>
    <x v="0"/>
    <x v="0"/>
    <n v="3"/>
    <x v="6"/>
  </r>
  <r>
    <d v="2025-10-13T00:00:00"/>
    <x v="8"/>
    <s v="Beverage"/>
    <x v="3"/>
    <x v="1"/>
    <n v="9"/>
    <n v="851.59"/>
    <n v="7664.31"/>
    <x v="1"/>
    <x v="1"/>
    <n v="2"/>
    <x v="2"/>
  </r>
  <r>
    <d v="2025-07-31T00:00:00"/>
    <x v="1"/>
    <s v="Groceries"/>
    <x v="0"/>
    <x v="2"/>
    <n v="13"/>
    <n v="966.68"/>
    <n v="12566.84"/>
    <x v="6"/>
    <x v="6"/>
    <n v="5"/>
    <x v="5"/>
  </r>
  <r>
    <d v="2025-04-23T00:00:00"/>
    <x v="6"/>
    <s v="Food"/>
    <x v="2"/>
    <x v="2"/>
    <n v="1"/>
    <n v="15489.04"/>
    <n v="15489.04"/>
    <x v="0"/>
    <x v="0"/>
    <n v="4"/>
    <x v="1"/>
  </r>
  <r>
    <d v="2025-09-29T00:00:00"/>
    <x v="2"/>
    <s v="Beverage"/>
    <x v="3"/>
    <x v="0"/>
    <n v="13"/>
    <n v="760.08"/>
    <n v="9881.0400000000009"/>
    <x v="7"/>
    <x v="7"/>
    <n v="2"/>
    <x v="2"/>
  </r>
  <r>
    <d v="2025-11-23T00:00:00"/>
    <x v="2"/>
    <s v="Groceries"/>
    <x v="1"/>
    <x v="5"/>
    <n v="13"/>
    <n v="588.5"/>
    <n v="7650.5"/>
    <x v="3"/>
    <x v="3"/>
    <n v="1"/>
    <x v="4"/>
  </r>
  <r>
    <d v="2025-06-04T00:00:00"/>
    <x v="4"/>
    <s v="Food"/>
    <x v="3"/>
    <x v="0"/>
    <n v="18"/>
    <n v="5038.7700000000004"/>
    <n v="90697.86"/>
    <x v="4"/>
    <x v="4"/>
    <n v="4"/>
    <x v="1"/>
  </r>
  <r>
    <d v="2025-10-12T00:00:00"/>
    <x v="5"/>
    <s v="Food"/>
    <x v="3"/>
    <x v="0"/>
    <n v="14"/>
    <n v="1794.8"/>
    <n v="25127.200000000001"/>
    <x v="1"/>
    <x v="1"/>
    <n v="1"/>
    <x v="4"/>
  </r>
  <r>
    <d v="2025-09-25T00:00:00"/>
    <x v="8"/>
    <s v="Beverage"/>
    <x v="2"/>
    <x v="3"/>
    <n v="8"/>
    <n v="836.04"/>
    <n v="6688.32"/>
    <x v="7"/>
    <x v="7"/>
    <n v="5"/>
    <x v="5"/>
  </r>
  <r>
    <d v="2025-05-22T00:00:00"/>
    <x v="4"/>
    <s v="Beverage"/>
    <x v="3"/>
    <x v="1"/>
    <n v="1"/>
    <n v="6058.95"/>
    <n v="6058.95"/>
    <x v="11"/>
    <x v="11"/>
    <n v="5"/>
    <x v="5"/>
  </r>
  <r>
    <d v="2025-05-16T00:00:00"/>
    <x v="9"/>
    <s v="Groceries"/>
    <x v="2"/>
    <x v="2"/>
    <n v="3"/>
    <n v="4032.84"/>
    <n v="12098.52"/>
    <x v="11"/>
    <x v="11"/>
    <n v="6"/>
    <x v="3"/>
  </r>
  <r>
    <d v="2025-07-26T00:00:00"/>
    <x v="4"/>
    <s v="Groceries"/>
    <x v="3"/>
    <x v="1"/>
    <n v="13"/>
    <n v="3834.78"/>
    <n v="49852.14"/>
    <x v="6"/>
    <x v="6"/>
    <n v="7"/>
    <x v="0"/>
  </r>
  <r>
    <d v="2025-03-12T00:00:00"/>
    <x v="6"/>
    <s v="Groceries"/>
    <x v="3"/>
    <x v="0"/>
    <n v="19"/>
    <n v="17256.93"/>
    <n v="327881.67"/>
    <x v="10"/>
    <x v="10"/>
    <n v="4"/>
    <x v="1"/>
  </r>
  <r>
    <d v="2025-06-19T00:00:00"/>
    <x v="6"/>
    <s v="Food"/>
    <x v="3"/>
    <x v="0"/>
    <n v="8"/>
    <n v="18862.3"/>
    <n v="150898.4"/>
    <x v="4"/>
    <x v="4"/>
    <n v="5"/>
    <x v="5"/>
  </r>
  <r>
    <d v="2025-12-07T00:00:00"/>
    <x v="3"/>
    <s v="Beverage"/>
    <x v="2"/>
    <x v="1"/>
    <n v="19"/>
    <n v="2537.1"/>
    <n v="48204.9"/>
    <x v="5"/>
    <x v="5"/>
    <n v="1"/>
    <x v="4"/>
  </r>
  <r>
    <d v="2025-08-20T00:00:00"/>
    <x v="6"/>
    <s v="Groceries"/>
    <x v="0"/>
    <x v="5"/>
    <n v="17"/>
    <n v="13489.85"/>
    <n v="229327.45"/>
    <x v="8"/>
    <x v="8"/>
    <n v="4"/>
    <x v="1"/>
  </r>
  <r>
    <d v="2025-03-03T00:00:00"/>
    <x v="2"/>
    <s v="Groceries"/>
    <x v="0"/>
    <x v="2"/>
    <n v="17"/>
    <n v="655.22"/>
    <n v="11138.74"/>
    <x v="10"/>
    <x v="10"/>
    <n v="2"/>
    <x v="2"/>
  </r>
  <r>
    <d v="2025-07-02T00:00:00"/>
    <x v="9"/>
    <s v="Beverage"/>
    <x v="1"/>
    <x v="1"/>
    <n v="19"/>
    <n v="3513.29"/>
    <n v="66752.509999999995"/>
    <x v="6"/>
    <x v="6"/>
    <n v="4"/>
    <x v="1"/>
  </r>
  <r>
    <d v="2025-08-01T00:00:00"/>
    <x v="1"/>
    <s v="Food"/>
    <x v="0"/>
    <x v="2"/>
    <n v="13"/>
    <n v="635.54999999999995"/>
    <n v="8262.15"/>
    <x v="8"/>
    <x v="8"/>
    <n v="6"/>
    <x v="3"/>
  </r>
  <r>
    <d v="2025-10-14T00:00:00"/>
    <x v="6"/>
    <s v="Food"/>
    <x v="3"/>
    <x v="4"/>
    <n v="14"/>
    <n v="17650.330000000002"/>
    <n v="247104.62"/>
    <x v="1"/>
    <x v="1"/>
    <n v="3"/>
    <x v="6"/>
  </r>
  <r>
    <d v="2025-09-08T00:00:00"/>
    <x v="7"/>
    <s v="Beverage"/>
    <x v="3"/>
    <x v="5"/>
    <n v="1"/>
    <n v="602.72"/>
    <n v="602.72"/>
    <x v="7"/>
    <x v="7"/>
    <n v="2"/>
    <x v="2"/>
  </r>
  <r>
    <d v="2025-10-30T00:00:00"/>
    <x v="2"/>
    <s v="Food"/>
    <x v="0"/>
    <x v="2"/>
    <n v="8"/>
    <n v="758.04"/>
    <n v="6064.32"/>
    <x v="1"/>
    <x v="1"/>
    <n v="5"/>
    <x v="5"/>
  </r>
  <r>
    <d v="2025-05-16T00:00:00"/>
    <x v="2"/>
    <s v="Groceries"/>
    <x v="3"/>
    <x v="1"/>
    <n v="2"/>
    <n v="488.18"/>
    <n v="976.36"/>
    <x v="11"/>
    <x v="11"/>
    <n v="6"/>
    <x v="3"/>
  </r>
  <r>
    <d v="2025-04-27T00:00:00"/>
    <x v="1"/>
    <s v="Food"/>
    <x v="1"/>
    <x v="2"/>
    <n v="8"/>
    <n v="942.06"/>
    <n v="7536.48"/>
    <x v="0"/>
    <x v="0"/>
    <n v="1"/>
    <x v="4"/>
  </r>
  <r>
    <d v="2025-11-18T00:00:00"/>
    <x v="2"/>
    <s v="Food"/>
    <x v="0"/>
    <x v="0"/>
    <n v="16"/>
    <n v="702.31"/>
    <n v="11236.96"/>
    <x v="3"/>
    <x v="3"/>
    <n v="3"/>
    <x v="6"/>
  </r>
  <r>
    <d v="2025-06-11T00:00:00"/>
    <x v="4"/>
    <s v="Food"/>
    <x v="3"/>
    <x v="0"/>
    <n v="15"/>
    <n v="4707.22"/>
    <n v="70608.3"/>
    <x v="4"/>
    <x v="4"/>
    <n v="4"/>
    <x v="1"/>
  </r>
  <r>
    <d v="2025-12-16T00:00:00"/>
    <x v="3"/>
    <s v="Groceries"/>
    <x v="3"/>
    <x v="1"/>
    <n v="2"/>
    <n v="2026.95"/>
    <n v="4053.9"/>
    <x v="5"/>
    <x v="5"/>
    <n v="3"/>
    <x v="6"/>
  </r>
  <r>
    <d v="2025-05-28T00:00:00"/>
    <x v="4"/>
    <s v="Food"/>
    <x v="3"/>
    <x v="1"/>
    <n v="1"/>
    <n v="3850.77"/>
    <n v="3850.77"/>
    <x v="11"/>
    <x v="11"/>
    <n v="4"/>
    <x v="1"/>
  </r>
  <r>
    <d v="2025-09-09T00:00:00"/>
    <x v="1"/>
    <s v="Beverage"/>
    <x v="1"/>
    <x v="2"/>
    <n v="15"/>
    <n v="864.28"/>
    <n v="12964.2"/>
    <x v="7"/>
    <x v="7"/>
    <n v="3"/>
    <x v="6"/>
  </r>
  <r>
    <d v="2025-10-03T00:00:00"/>
    <x v="2"/>
    <s v="Food"/>
    <x v="1"/>
    <x v="1"/>
    <n v="6"/>
    <n v="744.87"/>
    <n v="4469.22"/>
    <x v="1"/>
    <x v="1"/>
    <n v="6"/>
    <x v="3"/>
  </r>
  <r>
    <d v="2025-04-21T00:00:00"/>
    <x v="5"/>
    <s v="Groceries"/>
    <x v="1"/>
    <x v="1"/>
    <n v="3"/>
    <n v="1559.94"/>
    <n v="4679.82"/>
    <x v="0"/>
    <x v="0"/>
    <n v="2"/>
    <x v="2"/>
  </r>
  <r>
    <d v="2025-05-30T00:00:00"/>
    <x v="7"/>
    <s v="Beverage"/>
    <x v="1"/>
    <x v="2"/>
    <n v="17"/>
    <n v="599.71"/>
    <n v="10195.07"/>
    <x v="11"/>
    <x v="11"/>
    <n v="6"/>
    <x v="3"/>
  </r>
  <r>
    <d v="2025-07-21T00:00:00"/>
    <x v="8"/>
    <s v="Beverage"/>
    <x v="2"/>
    <x v="1"/>
    <n v="5"/>
    <n v="771.23"/>
    <n v="3856.15"/>
    <x v="6"/>
    <x v="6"/>
    <n v="2"/>
    <x v="2"/>
  </r>
  <r>
    <d v="2025-08-24T00:00:00"/>
    <x v="9"/>
    <s v="Food"/>
    <x v="2"/>
    <x v="3"/>
    <n v="16"/>
    <n v="4095.35"/>
    <n v="65525.599999999999"/>
    <x v="8"/>
    <x v="8"/>
    <n v="1"/>
    <x v="4"/>
  </r>
  <r>
    <d v="2025-12-25T00:00:00"/>
    <x v="7"/>
    <s v="Beverage"/>
    <x v="0"/>
    <x v="2"/>
    <n v="12"/>
    <n v="609.57000000000005"/>
    <n v="7314.84"/>
    <x v="5"/>
    <x v="5"/>
    <n v="5"/>
    <x v="5"/>
  </r>
  <r>
    <d v="2025-03-30T00:00:00"/>
    <x v="2"/>
    <s v="Groceries"/>
    <x v="3"/>
    <x v="1"/>
    <n v="9"/>
    <n v="431.44"/>
    <n v="3882.96"/>
    <x v="10"/>
    <x v="10"/>
    <n v="1"/>
    <x v="4"/>
  </r>
  <r>
    <d v="2025-07-04T00:00:00"/>
    <x v="8"/>
    <s v="Groceries"/>
    <x v="1"/>
    <x v="2"/>
    <n v="12"/>
    <n v="1014.15"/>
    <n v="12169.8"/>
    <x v="6"/>
    <x v="6"/>
    <n v="6"/>
    <x v="3"/>
  </r>
  <r>
    <d v="2025-10-04T00:00:00"/>
    <x v="2"/>
    <s v="Food"/>
    <x v="0"/>
    <x v="3"/>
    <n v="1"/>
    <n v="469.64"/>
    <n v="469.64"/>
    <x v="1"/>
    <x v="1"/>
    <n v="7"/>
    <x v="0"/>
  </r>
  <r>
    <d v="2025-06-30T00:00:00"/>
    <x v="1"/>
    <s v="Food"/>
    <x v="0"/>
    <x v="3"/>
    <n v="6"/>
    <n v="1113.78"/>
    <n v="6682.68"/>
    <x v="4"/>
    <x v="4"/>
    <n v="2"/>
    <x v="2"/>
  </r>
  <r>
    <d v="2025-07-26T00:00:00"/>
    <x v="2"/>
    <s v="Beverage"/>
    <x v="0"/>
    <x v="3"/>
    <n v="17"/>
    <n v="620.63"/>
    <n v="10550.71"/>
    <x v="6"/>
    <x v="6"/>
    <n v="7"/>
    <x v="0"/>
  </r>
  <r>
    <d v="2025-05-20T00:00:00"/>
    <x v="6"/>
    <s v="Beverage"/>
    <x v="2"/>
    <x v="1"/>
    <n v="6"/>
    <n v="15591.19"/>
    <n v="93547.14"/>
    <x v="11"/>
    <x v="11"/>
    <n v="3"/>
    <x v="6"/>
  </r>
  <r>
    <d v="2025-01-14T00:00:00"/>
    <x v="2"/>
    <s v="Food"/>
    <x v="0"/>
    <x v="3"/>
    <n v="13"/>
    <n v="585.28"/>
    <n v="7608.64"/>
    <x v="9"/>
    <x v="9"/>
    <n v="3"/>
    <x v="6"/>
  </r>
  <r>
    <d v="2025-09-01T00:00:00"/>
    <x v="2"/>
    <s v="Groceries"/>
    <x v="3"/>
    <x v="1"/>
    <n v="17"/>
    <n v="571.47"/>
    <n v="9714.99"/>
    <x v="7"/>
    <x v="7"/>
    <n v="2"/>
    <x v="2"/>
  </r>
  <r>
    <d v="2025-01-26T00:00:00"/>
    <x v="8"/>
    <s v="Beverage"/>
    <x v="3"/>
    <x v="5"/>
    <n v="18"/>
    <n v="1282.69"/>
    <n v="23088.42"/>
    <x v="9"/>
    <x v="9"/>
    <n v="1"/>
    <x v="4"/>
  </r>
  <r>
    <d v="2025-09-29T00:00:00"/>
    <x v="4"/>
    <s v="Beverage"/>
    <x v="1"/>
    <x v="1"/>
    <n v="7"/>
    <n v="4753"/>
    <n v="33271"/>
    <x v="7"/>
    <x v="7"/>
    <n v="2"/>
    <x v="2"/>
  </r>
  <r>
    <d v="2025-01-19T00:00:00"/>
    <x v="7"/>
    <s v="Food"/>
    <x v="0"/>
    <x v="5"/>
    <n v="4"/>
    <n v="887.05"/>
    <n v="3548.2"/>
    <x v="9"/>
    <x v="9"/>
    <n v="1"/>
    <x v="4"/>
  </r>
  <r>
    <d v="2025-05-01T00:00:00"/>
    <x v="2"/>
    <s v="Food"/>
    <x v="2"/>
    <x v="3"/>
    <n v="7"/>
    <n v="511.92"/>
    <n v="3583.44"/>
    <x v="11"/>
    <x v="11"/>
    <n v="5"/>
    <x v="5"/>
  </r>
  <r>
    <d v="2025-03-05T00:00:00"/>
    <x v="7"/>
    <s v="Food"/>
    <x v="1"/>
    <x v="0"/>
    <n v="14"/>
    <n v="693.49"/>
    <n v="9708.86"/>
    <x v="10"/>
    <x v="10"/>
    <n v="4"/>
    <x v="1"/>
  </r>
  <r>
    <d v="2025-08-26T00:00:00"/>
    <x v="0"/>
    <s v="Groceries"/>
    <x v="3"/>
    <x v="4"/>
    <n v="16"/>
    <n v="870.18"/>
    <n v="13922.88"/>
    <x v="8"/>
    <x v="8"/>
    <n v="3"/>
    <x v="6"/>
  </r>
  <r>
    <d v="2025-12-11T00:00:00"/>
    <x v="3"/>
    <s v="Groceries"/>
    <x v="0"/>
    <x v="5"/>
    <n v="9"/>
    <n v="2219.58"/>
    <n v="19976.22"/>
    <x v="5"/>
    <x v="5"/>
    <n v="5"/>
    <x v="5"/>
  </r>
  <r>
    <d v="2025-09-20T00:00:00"/>
    <x v="5"/>
    <s v="Groceries"/>
    <x v="0"/>
    <x v="0"/>
    <n v="16"/>
    <n v="1412.89"/>
    <n v="22606.240000000002"/>
    <x v="7"/>
    <x v="7"/>
    <n v="7"/>
    <x v="0"/>
  </r>
  <r>
    <d v="2025-08-17T00:00:00"/>
    <x v="3"/>
    <s v="Beverage"/>
    <x v="2"/>
    <x v="1"/>
    <n v="7"/>
    <n v="2847.24"/>
    <n v="19930.68"/>
    <x v="8"/>
    <x v="8"/>
    <n v="1"/>
    <x v="4"/>
  </r>
  <r>
    <d v="2025-06-19T00:00:00"/>
    <x v="5"/>
    <s v="Food"/>
    <x v="1"/>
    <x v="0"/>
    <n v="14"/>
    <n v="1146.8499999999999"/>
    <n v="16055.9"/>
    <x v="4"/>
    <x v="4"/>
    <n v="5"/>
    <x v="5"/>
  </r>
  <r>
    <d v="2025-04-02T00:00:00"/>
    <x v="5"/>
    <s v="Beverage"/>
    <x v="3"/>
    <x v="0"/>
    <n v="18"/>
    <n v="1274.55"/>
    <n v="22941.9"/>
    <x v="0"/>
    <x v="0"/>
    <n v="4"/>
    <x v="1"/>
  </r>
  <r>
    <d v="2025-04-05T00:00:00"/>
    <x v="4"/>
    <s v="Food"/>
    <x v="1"/>
    <x v="2"/>
    <n v="6"/>
    <n v="4475.63"/>
    <n v="26853.78"/>
    <x v="0"/>
    <x v="0"/>
    <n v="7"/>
    <x v="0"/>
  </r>
  <r>
    <d v="2025-11-18T00:00:00"/>
    <x v="1"/>
    <s v="Groceries"/>
    <x v="0"/>
    <x v="3"/>
    <n v="4"/>
    <n v="805.15"/>
    <n v="3220.6"/>
    <x v="3"/>
    <x v="3"/>
    <n v="3"/>
    <x v="6"/>
  </r>
  <r>
    <d v="2025-12-02T00:00:00"/>
    <x v="4"/>
    <s v="Groceries"/>
    <x v="2"/>
    <x v="5"/>
    <n v="1"/>
    <n v="4700.6400000000003"/>
    <n v="4700.6400000000003"/>
    <x v="5"/>
    <x v="5"/>
    <n v="3"/>
    <x v="6"/>
  </r>
  <r>
    <d v="2025-09-03T00:00:00"/>
    <x v="1"/>
    <s v="Groceries"/>
    <x v="2"/>
    <x v="2"/>
    <n v="12"/>
    <n v="986.13"/>
    <n v="11833.56"/>
    <x v="7"/>
    <x v="7"/>
    <n v="4"/>
    <x v="1"/>
  </r>
  <r>
    <d v="2025-08-12T00:00:00"/>
    <x v="3"/>
    <s v="Food"/>
    <x v="0"/>
    <x v="3"/>
    <n v="9"/>
    <n v="2021.77"/>
    <n v="18195.93"/>
    <x v="8"/>
    <x v="8"/>
    <n v="3"/>
    <x v="6"/>
  </r>
  <r>
    <d v="2025-03-23T00:00:00"/>
    <x v="8"/>
    <s v="Groceries"/>
    <x v="3"/>
    <x v="1"/>
    <n v="2"/>
    <n v="802.56"/>
    <n v="1605.12"/>
    <x v="10"/>
    <x v="10"/>
    <n v="1"/>
    <x v="4"/>
  </r>
  <r>
    <d v="2025-01-25T00:00:00"/>
    <x v="1"/>
    <s v="Beverage"/>
    <x v="1"/>
    <x v="2"/>
    <n v="14"/>
    <n v="842.28"/>
    <n v="11791.92"/>
    <x v="9"/>
    <x v="9"/>
    <n v="7"/>
    <x v="0"/>
  </r>
  <r>
    <d v="2025-05-06T00:00:00"/>
    <x v="4"/>
    <s v="Food"/>
    <x v="1"/>
    <x v="5"/>
    <n v="16"/>
    <n v="3989.06"/>
    <n v="63824.959999999999"/>
    <x v="11"/>
    <x v="11"/>
    <n v="3"/>
    <x v="6"/>
  </r>
  <r>
    <d v="2025-04-08T00:00:00"/>
    <x v="8"/>
    <s v="Food"/>
    <x v="1"/>
    <x v="1"/>
    <n v="7"/>
    <n v="781.28"/>
    <n v="5468.96"/>
    <x v="0"/>
    <x v="0"/>
    <n v="3"/>
    <x v="6"/>
  </r>
  <r>
    <d v="2025-03-04T00:00:00"/>
    <x v="3"/>
    <s v="Food"/>
    <x v="1"/>
    <x v="0"/>
    <n v="11"/>
    <n v="2380.0100000000002"/>
    <n v="26180.11"/>
    <x v="10"/>
    <x v="10"/>
    <n v="3"/>
    <x v="6"/>
  </r>
  <r>
    <d v="2025-08-30T00:00:00"/>
    <x v="3"/>
    <s v="Groceries"/>
    <x v="2"/>
    <x v="5"/>
    <n v="16"/>
    <n v="1766.95"/>
    <n v="28271.200000000001"/>
    <x v="8"/>
    <x v="8"/>
    <n v="7"/>
    <x v="0"/>
  </r>
  <r>
    <d v="2025-12-29T00:00:00"/>
    <x v="1"/>
    <s v="Food"/>
    <x v="3"/>
    <x v="0"/>
    <n v="15"/>
    <n v="776.61"/>
    <n v="11649.15"/>
    <x v="5"/>
    <x v="5"/>
    <n v="2"/>
    <x v="2"/>
  </r>
  <r>
    <d v="2025-09-19T00:00:00"/>
    <x v="5"/>
    <s v="Beverage"/>
    <x v="0"/>
    <x v="2"/>
    <n v="12"/>
    <n v="1419.45"/>
    <n v="17033.400000000001"/>
    <x v="7"/>
    <x v="7"/>
    <n v="6"/>
    <x v="3"/>
  </r>
  <r>
    <d v="2025-02-12T00:00:00"/>
    <x v="6"/>
    <s v="Groceries"/>
    <x v="2"/>
    <x v="3"/>
    <n v="4"/>
    <n v="17855.75"/>
    <n v="71423"/>
    <x v="2"/>
    <x v="2"/>
    <n v="4"/>
    <x v="1"/>
  </r>
  <r>
    <d v="2025-11-20T00:00:00"/>
    <x v="1"/>
    <s v="Beverage"/>
    <x v="2"/>
    <x v="2"/>
    <n v="5"/>
    <n v="675.1"/>
    <n v="3375.5"/>
    <x v="3"/>
    <x v="3"/>
    <n v="5"/>
    <x v="5"/>
  </r>
  <r>
    <d v="2025-09-26T00:00:00"/>
    <x v="1"/>
    <s v="Groceries"/>
    <x v="2"/>
    <x v="2"/>
    <n v="5"/>
    <n v="1022.87"/>
    <n v="5114.3500000000004"/>
    <x v="7"/>
    <x v="7"/>
    <n v="6"/>
    <x v="3"/>
  </r>
  <r>
    <d v="2025-08-15T00:00:00"/>
    <x v="0"/>
    <s v="Groceries"/>
    <x v="2"/>
    <x v="0"/>
    <n v="5"/>
    <n v="1387.32"/>
    <n v="6936.6"/>
    <x v="8"/>
    <x v="8"/>
    <n v="6"/>
    <x v="3"/>
  </r>
  <r>
    <d v="2025-10-11T00:00:00"/>
    <x v="0"/>
    <s v="Food"/>
    <x v="1"/>
    <x v="2"/>
    <n v="2"/>
    <n v="1134.0899999999999"/>
    <n v="2268.1799999999998"/>
    <x v="1"/>
    <x v="1"/>
    <n v="7"/>
    <x v="0"/>
  </r>
  <r>
    <d v="2025-09-28T00:00:00"/>
    <x v="3"/>
    <s v="Food"/>
    <x v="1"/>
    <x v="2"/>
    <n v="13"/>
    <n v="2256.3000000000002"/>
    <n v="29331.9"/>
    <x v="7"/>
    <x v="7"/>
    <n v="1"/>
    <x v="4"/>
  </r>
  <r>
    <d v="2025-02-03T00:00:00"/>
    <x v="9"/>
    <s v="Food"/>
    <x v="3"/>
    <x v="4"/>
    <n v="15"/>
    <n v="3074.3"/>
    <n v="46114.5"/>
    <x v="2"/>
    <x v="2"/>
    <n v="2"/>
    <x v="2"/>
  </r>
  <r>
    <d v="2025-08-18T00:00:00"/>
    <x v="7"/>
    <s v="Groceries"/>
    <x v="1"/>
    <x v="2"/>
    <n v="15"/>
    <n v="939.45"/>
    <n v="14091.75"/>
    <x v="8"/>
    <x v="8"/>
    <n v="2"/>
    <x v="2"/>
  </r>
  <r>
    <d v="2025-05-27T00:00:00"/>
    <x v="4"/>
    <s v="Beverage"/>
    <x v="1"/>
    <x v="1"/>
    <n v="11"/>
    <n v="4581.42"/>
    <n v="50395.62"/>
    <x v="11"/>
    <x v="11"/>
    <n v="3"/>
    <x v="6"/>
  </r>
  <r>
    <d v="2025-11-19T00:00:00"/>
    <x v="3"/>
    <s v="Food"/>
    <x v="1"/>
    <x v="2"/>
    <n v="10"/>
    <n v="2506.9299999999998"/>
    <n v="25069.3"/>
    <x v="3"/>
    <x v="3"/>
    <n v="4"/>
    <x v="1"/>
  </r>
  <r>
    <d v="2025-03-08T00:00:00"/>
    <x v="7"/>
    <s v="Beverage"/>
    <x v="1"/>
    <x v="5"/>
    <n v="19"/>
    <n v="1032.8800000000001"/>
    <n v="19624.72"/>
    <x v="10"/>
    <x v="10"/>
    <n v="7"/>
    <x v="0"/>
  </r>
  <r>
    <d v="2025-10-14T00:00:00"/>
    <x v="3"/>
    <s v="Groceries"/>
    <x v="3"/>
    <x v="0"/>
    <n v="2"/>
    <n v="2678.16"/>
    <n v="5356.32"/>
    <x v="1"/>
    <x v="1"/>
    <n v="3"/>
    <x v="6"/>
  </r>
  <r>
    <d v="2025-09-29T00:00:00"/>
    <x v="5"/>
    <s v="Food"/>
    <x v="0"/>
    <x v="5"/>
    <n v="1"/>
    <n v="1166.26"/>
    <n v="1166.26"/>
    <x v="7"/>
    <x v="7"/>
    <n v="2"/>
    <x v="2"/>
  </r>
  <r>
    <d v="2025-12-06T00:00:00"/>
    <x v="0"/>
    <s v="Groceries"/>
    <x v="1"/>
    <x v="0"/>
    <n v="12"/>
    <n v="868.9"/>
    <n v="10426.799999999999"/>
    <x v="5"/>
    <x v="5"/>
    <n v="7"/>
    <x v="0"/>
  </r>
  <r>
    <d v="2025-08-12T00:00:00"/>
    <x v="6"/>
    <s v="Groceries"/>
    <x v="3"/>
    <x v="1"/>
    <n v="10"/>
    <n v="17623.169999999998"/>
    <n v="176231.7"/>
    <x v="8"/>
    <x v="8"/>
    <n v="3"/>
    <x v="6"/>
  </r>
  <r>
    <d v="2025-04-15T00:00:00"/>
    <x v="2"/>
    <s v="Groceries"/>
    <x v="1"/>
    <x v="5"/>
    <n v="8"/>
    <n v="453.58"/>
    <n v="3628.64"/>
    <x v="0"/>
    <x v="0"/>
    <n v="3"/>
    <x v="6"/>
  </r>
  <r>
    <d v="2025-11-26T00:00:00"/>
    <x v="7"/>
    <s v="Groceries"/>
    <x v="1"/>
    <x v="5"/>
    <n v="17"/>
    <n v="1013.09"/>
    <n v="17222.53"/>
    <x v="3"/>
    <x v="3"/>
    <n v="4"/>
    <x v="1"/>
  </r>
  <r>
    <d v="2025-10-31T00:00:00"/>
    <x v="3"/>
    <s v="Beverage"/>
    <x v="1"/>
    <x v="2"/>
    <n v="6"/>
    <n v="1965.09"/>
    <n v="11790.54"/>
    <x v="1"/>
    <x v="1"/>
    <n v="6"/>
    <x v="3"/>
  </r>
  <r>
    <d v="2025-04-05T00:00:00"/>
    <x v="1"/>
    <s v="Beverage"/>
    <x v="3"/>
    <x v="1"/>
    <n v="13"/>
    <n v="987.02"/>
    <n v="12831.26"/>
    <x v="0"/>
    <x v="0"/>
    <n v="7"/>
    <x v="0"/>
  </r>
  <r>
    <d v="2025-02-11T00:00:00"/>
    <x v="8"/>
    <s v="Beverage"/>
    <x v="3"/>
    <x v="1"/>
    <n v="18"/>
    <n v="727"/>
    <n v="13086"/>
    <x v="2"/>
    <x v="2"/>
    <n v="3"/>
    <x v="6"/>
  </r>
  <r>
    <d v="2025-02-10T00:00:00"/>
    <x v="3"/>
    <s v="Beverage"/>
    <x v="2"/>
    <x v="0"/>
    <n v="12"/>
    <n v="2247.96"/>
    <n v="26975.52"/>
    <x v="2"/>
    <x v="2"/>
    <n v="2"/>
    <x v="2"/>
  </r>
  <r>
    <d v="2025-03-16T00:00:00"/>
    <x v="1"/>
    <s v="Food"/>
    <x v="1"/>
    <x v="2"/>
    <n v="2"/>
    <n v="1084.69"/>
    <n v="2169.38"/>
    <x v="10"/>
    <x v="10"/>
    <n v="1"/>
    <x v="4"/>
  </r>
  <r>
    <d v="2025-02-08T00:00:00"/>
    <x v="3"/>
    <s v="Food"/>
    <x v="0"/>
    <x v="2"/>
    <n v="4"/>
    <n v="2011.97"/>
    <n v="8047.88"/>
    <x v="2"/>
    <x v="2"/>
    <n v="7"/>
    <x v="0"/>
  </r>
  <r>
    <d v="2025-06-07T00:00:00"/>
    <x v="4"/>
    <s v="Beverage"/>
    <x v="1"/>
    <x v="1"/>
    <n v="15"/>
    <n v="6171.15"/>
    <n v="92567.25"/>
    <x v="4"/>
    <x v="4"/>
    <n v="7"/>
    <x v="0"/>
  </r>
  <r>
    <d v="2025-06-04T00:00:00"/>
    <x v="0"/>
    <s v="Food"/>
    <x v="0"/>
    <x v="3"/>
    <n v="10"/>
    <n v="1233.6199999999999"/>
    <n v="12336.2"/>
    <x v="4"/>
    <x v="4"/>
    <n v="4"/>
    <x v="1"/>
  </r>
  <r>
    <d v="2025-12-22T00:00:00"/>
    <x v="3"/>
    <s v="Beverage"/>
    <x v="1"/>
    <x v="0"/>
    <n v="12"/>
    <n v="1976.03"/>
    <n v="23712.36"/>
    <x v="5"/>
    <x v="5"/>
    <n v="2"/>
    <x v="2"/>
  </r>
  <r>
    <d v="2025-02-05T00:00:00"/>
    <x v="0"/>
    <s v="Beverage"/>
    <x v="1"/>
    <x v="1"/>
    <n v="4"/>
    <n v="1275.95"/>
    <n v="5103.8"/>
    <x v="2"/>
    <x v="2"/>
    <n v="4"/>
    <x v="1"/>
  </r>
  <r>
    <d v="2025-04-05T00:00:00"/>
    <x v="6"/>
    <s v="Food"/>
    <x v="3"/>
    <x v="4"/>
    <n v="18"/>
    <n v="15730.76"/>
    <n v="283153.68"/>
    <x v="0"/>
    <x v="0"/>
    <n v="7"/>
    <x v="0"/>
  </r>
  <r>
    <d v="2025-05-30T00:00:00"/>
    <x v="8"/>
    <s v="Food"/>
    <x v="3"/>
    <x v="5"/>
    <n v="14"/>
    <n v="965.42"/>
    <n v="13515.88"/>
    <x v="11"/>
    <x v="11"/>
    <n v="6"/>
    <x v="3"/>
  </r>
  <r>
    <d v="2025-07-24T00:00:00"/>
    <x v="9"/>
    <s v="Food"/>
    <x v="2"/>
    <x v="1"/>
    <n v="7"/>
    <n v="2715.17"/>
    <n v="19006.189999999999"/>
    <x v="6"/>
    <x v="6"/>
    <n v="5"/>
    <x v="5"/>
  </r>
  <r>
    <d v="2025-01-15T00:00:00"/>
    <x v="6"/>
    <s v="Food"/>
    <x v="1"/>
    <x v="2"/>
    <n v="2"/>
    <n v="13364.36"/>
    <n v="26728.720000000001"/>
    <x v="9"/>
    <x v="9"/>
    <n v="4"/>
    <x v="1"/>
  </r>
  <r>
    <d v="2025-10-09T00:00:00"/>
    <x v="0"/>
    <s v="Groceries"/>
    <x v="3"/>
    <x v="5"/>
    <n v="14"/>
    <n v="925.12"/>
    <n v="12951.68"/>
    <x v="1"/>
    <x v="1"/>
    <n v="5"/>
    <x v="5"/>
  </r>
  <r>
    <d v="2025-12-18T00:00:00"/>
    <x v="8"/>
    <s v="Groceries"/>
    <x v="0"/>
    <x v="3"/>
    <n v="19"/>
    <n v="788.93"/>
    <n v="14989.67"/>
    <x v="5"/>
    <x v="5"/>
    <n v="5"/>
    <x v="5"/>
  </r>
  <r>
    <d v="2025-07-08T00:00:00"/>
    <x v="5"/>
    <s v="Food"/>
    <x v="0"/>
    <x v="2"/>
    <n v="3"/>
    <n v="1858.91"/>
    <n v="5576.73"/>
    <x v="6"/>
    <x v="6"/>
    <n v="3"/>
    <x v="6"/>
  </r>
  <r>
    <d v="2025-10-11T00:00:00"/>
    <x v="9"/>
    <s v="Groceries"/>
    <x v="2"/>
    <x v="0"/>
    <n v="13"/>
    <n v="4526.55"/>
    <n v="58845.15"/>
    <x v="1"/>
    <x v="1"/>
    <n v="7"/>
    <x v="0"/>
  </r>
  <r>
    <d v="2025-08-06T00:00:00"/>
    <x v="4"/>
    <s v="Groceries"/>
    <x v="2"/>
    <x v="2"/>
    <n v="12"/>
    <n v="3789.93"/>
    <n v="45479.16"/>
    <x v="8"/>
    <x v="8"/>
    <n v="4"/>
    <x v="1"/>
  </r>
  <r>
    <d v="2025-03-15T00:00:00"/>
    <x v="5"/>
    <s v="Groceries"/>
    <x v="1"/>
    <x v="5"/>
    <n v="16"/>
    <n v="1946.01"/>
    <n v="31136.16"/>
    <x v="10"/>
    <x v="10"/>
    <n v="7"/>
    <x v="0"/>
  </r>
  <r>
    <d v="2025-02-15T00:00:00"/>
    <x v="7"/>
    <s v="Food"/>
    <x v="0"/>
    <x v="0"/>
    <n v="15"/>
    <n v="712.79"/>
    <n v="10691.85"/>
    <x v="2"/>
    <x v="2"/>
    <n v="7"/>
    <x v="0"/>
  </r>
  <r>
    <d v="2025-07-12T00:00:00"/>
    <x v="0"/>
    <s v="Beverage"/>
    <x v="3"/>
    <x v="1"/>
    <n v="16"/>
    <n v="935.91"/>
    <n v="14974.56"/>
    <x v="6"/>
    <x v="6"/>
    <n v="7"/>
    <x v="0"/>
  </r>
  <r>
    <d v="2025-05-10T00:00:00"/>
    <x v="7"/>
    <s v="Food"/>
    <x v="0"/>
    <x v="2"/>
    <n v="12"/>
    <n v="834.87"/>
    <n v="10018.44"/>
    <x v="11"/>
    <x v="11"/>
    <n v="7"/>
    <x v="0"/>
  </r>
  <r>
    <d v="2025-10-02T00:00:00"/>
    <x v="4"/>
    <s v="Groceries"/>
    <x v="3"/>
    <x v="5"/>
    <n v="19"/>
    <n v="5690.75"/>
    <n v="108124.25"/>
    <x v="1"/>
    <x v="1"/>
    <n v="5"/>
    <x v="5"/>
  </r>
  <r>
    <d v="2025-06-21T00:00:00"/>
    <x v="4"/>
    <s v="Beverage"/>
    <x v="3"/>
    <x v="4"/>
    <n v="15"/>
    <n v="5351.32"/>
    <n v="80269.8"/>
    <x v="4"/>
    <x v="4"/>
    <n v="7"/>
    <x v="0"/>
  </r>
  <r>
    <d v="2025-12-07T00:00:00"/>
    <x v="7"/>
    <s v="Beverage"/>
    <x v="1"/>
    <x v="5"/>
    <n v="11"/>
    <n v="693.37"/>
    <n v="7627.07"/>
    <x v="5"/>
    <x v="5"/>
    <n v="1"/>
    <x v="4"/>
  </r>
  <r>
    <d v="2025-05-16T00:00:00"/>
    <x v="0"/>
    <s v="Groceries"/>
    <x v="3"/>
    <x v="5"/>
    <n v="12"/>
    <n v="1181.4000000000001"/>
    <n v="14176.8"/>
    <x v="11"/>
    <x v="11"/>
    <n v="6"/>
    <x v="3"/>
  </r>
  <r>
    <d v="2025-09-23T00:00:00"/>
    <x v="1"/>
    <s v="Beverage"/>
    <x v="0"/>
    <x v="5"/>
    <n v="6"/>
    <n v="912.54"/>
    <n v="5475.24"/>
    <x v="7"/>
    <x v="7"/>
    <n v="3"/>
    <x v="6"/>
  </r>
  <r>
    <d v="2025-10-01T00:00:00"/>
    <x v="9"/>
    <s v="Beverage"/>
    <x v="3"/>
    <x v="1"/>
    <n v="10"/>
    <n v="2773.23"/>
    <n v="27732.3"/>
    <x v="1"/>
    <x v="1"/>
    <n v="4"/>
    <x v="1"/>
  </r>
  <r>
    <d v="2025-12-20T00:00:00"/>
    <x v="2"/>
    <s v="Groceries"/>
    <x v="3"/>
    <x v="5"/>
    <n v="7"/>
    <n v="587.83000000000004"/>
    <n v="4114.8100000000004"/>
    <x v="5"/>
    <x v="5"/>
    <n v="7"/>
    <x v="0"/>
  </r>
  <r>
    <d v="2025-06-02T00:00:00"/>
    <x v="9"/>
    <s v="Beverage"/>
    <x v="3"/>
    <x v="5"/>
    <n v="19"/>
    <n v="4363.8100000000004"/>
    <n v="82912.39"/>
    <x v="4"/>
    <x v="4"/>
    <n v="2"/>
    <x v="2"/>
  </r>
  <r>
    <d v="2025-02-15T00:00:00"/>
    <x v="8"/>
    <s v="Food"/>
    <x v="2"/>
    <x v="3"/>
    <n v="4"/>
    <n v="937.56"/>
    <n v="3750.24"/>
    <x v="2"/>
    <x v="2"/>
    <n v="7"/>
    <x v="0"/>
  </r>
  <r>
    <d v="2025-10-31T00:00:00"/>
    <x v="5"/>
    <s v="Beverage"/>
    <x v="1"/>
    <x v="5"/>
    <n v="9"/>
    <n v="1275.79"/>
    <n v="11482.11"/>
    <x v="1"/>
    <x v="1"/>
    <n v="6"/>
    <x v="3"/>
  </r>
  <r>
    <d v="2025-10-05T00:00:00"/>
    <x v="3"/>
    <s v="Groceries"/>
    <x v="0"/>
    <x v="3"/>
    <n v="19"/>
    <n v="1865.08"/>
    <n v="35436.519999999997"/>
    <x v="1"/>
    <x v="1"/>
    <n v="1"/>
    <x v="4"/>
  </r>
  <r>
    <d v="2025-09-26T00:00:00"/>
    <x v="7"/>
    <s v="Beverage"/>
    <x v="3"/>
    <x v="1"/>
    <n v="3"/>
    <n v="776.83"/>
    <n v="2330.4899999999998"/>
    <x v="7"/>
    <x v="7"/>
    <n v="6"/>
    <x v="3"/>
  </r>
  <r>
    <d v="2025-04-02T00:00:00"/>
    <x v="2"/>
    <s v="Food"/>
    <x v="0"/>
    <x v="0"/>
    <n v="15"/>
    <n v="641.91"/>
    <n v="9628.65"/>
    <x v="0"/>
    <x v="0"/>
    <n v="4"/>
    <x v="1"/>
  </r>
  <r>
    <d v="2025-09-02T00:00:00"/>
    <x v="0"/>
    <s v="Beverage"/>
    <x v="1"/>
    <x v="2"/>
    <n v="10"/>
    <n v="1365.95"/>
    <n v="13659.5"/>
    <x v="7"/>
    <x v="7"/>
    <n v="3"/>
    <x v="6"/>
  </r>
  <r>
    <d v="2025-12-02T00:00:00"/>
    <x v="3"/>
    <s v="Food"/>
    <x v="2"/>
    <x v="0"/>
    <n v="10"/>
    <n v="2143.71"/>
    <n v="21437.1"/>
    <x v="5"/>
    <x v="5"/>
    <n v="3"/>
    <x v="6"/>
  </r>
  <r>
    <d v="2025-11-01T00:00:00"/>
    <x v="9"/>
    <s v="Groceries"/>
    <x v="3"/>
    <x v="1"/>
    <n v="1"/>
    <n v="2791.33"/>
    <n v="2791.33"/>
    <x v="3"/>
    <x v="3"/>
    <n v="7"/>
    <x v="0"/>
  </r>
  <r>
    <d v="2025-07-06T00:00:00"/>
    <x v="3"/>
    <s v="Food"/>
    <x v="3"/>
    <x v="5"/>
    <n v="4"/>
    <n v="2578.5500000000002"/>
    <n v="10314.200000000001"/>
    <x v="6"/>
    <x v="6"/>
    <n v="1"/>
    <x v="4"/>
  </r>
  <r>
    <d v="2025-06-26T00:00:00"/>
    <x v="4"/>
    <s v="Food"/>
    <x v="0"/>
    <x v="3"/>
    <n v="19"/>
    <n v="4386.3999999999996"/>
    <n v="83341.600000000006"/>
    <x v="4"/>
    <x v="4"/>
    <n v="5"/>
    <x v="5"/>
  </r>
  <r>
    <d v="2025-08-31T00:00:00"/>
    <x v="4"/>
    <s v="Beverage"/>
    <x v="3"/>
    <x v="4"/>
    <n v="16"/>
    <n v="5175.0600000000004"/>
    <n v="82800.960000000006"/>
    <x v="8"/>
    <x v="8"/>
    <n v="1"/>
    <x v="4"/>
  </r>
  <r>
    <d v="2025-09-07T00:00:00"/>
    <x v="0"/>
    <s v="Food"/>
    <x v="2"/>
    <x v="0"/>
    <n v="16"/>
    <n v="1262.3699999999999"/>
    <n v="20197.919999999998"/>
    <x v="7"/>
    <x v="7"/>
    <n v="1"/>
    <x v="4"/>
  </r>
  <r>
    <d v="2025-05-11T00:00:00"/>
    <x v="9"/>
    <s v="Groceries"/>
    <x v="1"/>
    <x v="2"/>
    <n v="12"/>
    <n v="4190.17"/>
    <n v="50282.04"/>
    <x v="11"/>
    <x v="11"/>
    <n v="1"/>
    <x v="4"/>
  </r>
  <r>
    <d v="2025-01-18T00:00:00"/>
    <x v="1"/>
    <s v="Food"/>
    <x v="0"/>
    <x v="3"/>
    <n v="1"/>
    <n v="804.47"/>
    <n v="804.47"/>
    <x v="9"/>
    <x v="9"/>
    <n v="7"/>
    <x v="0"/>
  </r>
  <r>
    <d v="2025-12-11T00:00:00"/>
    <x v="5"/>
    <s v="Beverage"/>
    <x v="2"/>
    <x v="2"/>
    <n v="8"/>
    <n v="1771.52"/>
    <n v="14172.16"/>
    <x v="5"/>
    <x v="5"/>
    <n v="5"/>
    <x v="5"/>
  </r>
  <r>
    <d v="2025-01-19T00:00:00"/>
    <x v="8"/>
    <s v="Beverage"/>
    <x v="0"/>
    <x v="3"/>
    <n v="10"/>
    <n v="988.77"/>
    <n v="9887.7000000000007"/>
    <x v="9"/>
    <x v="9"/>
    <n v="1"/>
    <x v="4"/>
  </r>
  <r>
    <d v="2025-08-16T00:00:00"/>
    <x v="9"/>
    <s v="Beverage"/>
    <x v="0"/>
    <x v="3"/>
    <n v="12"/>
    <n v="4160.21"/>
    <n v="49922.52"/>
    <x v="8"/>
    <x v="8"/>
    <n v="7"/>
    <x v="0"/>
  </r>
  <r>
    <d v="2025-06-09T00:00:00"/>
    <x v="8"/>
    <s v="Groceries"/>
    <x v="1"/>
    <x v="2"/>
    <n v="7"/>
    <n v="928.57"/>
    <n v="6499.99"/>
    <x v="4"/>
    <x v="4"/>
    <n v="2"/>
    <x v="2"/>
  </r>
  <r>
    <d v="2025-09-30T00:00:00"/>
    <x v="7"/>
    <s v="Groceries"/>
    <x v="0"/>
    <x v="0"/>
    <n v="12"/>
    <n v="921.02"/>
    <n v="11052.24"/>
    <x v="7"/>
    <x v="7"/>
    <n v="3"/>
    <x v="6"/>
  </r>
  <r>
    <d v="2025-07-04T00:00:00"/>
    <x v="6"/>
    <s v="Groceries"/>
    <x v="0"/>
    <x v="0"/>
    <n v="11"/>
    <n v="17937.07"/>
    <n v="197307.77"/>
    <x v="6"/>
    <x v="6"/>
    <n v="6"/>
    <x v="3"/>
  </r>
  <r>
    <d v="2025-07-28T00:00:00"/>
    <x v="0"/>
    <s v="Food"/>
    <x v="1"/>
    <x v="1"/>
    <n v="2"/>
    <n v="1434.67"/>
    <n v="2869.34"/>
    <x v="6"/>
    <x v="6"/>
    <n v="2"/>
    <x v="2"/>
  </r>
  <r>
    <d v="2025-05-13T00:00:00"/>
    <x v="1"/>
    <s v="Food"/>
    <x v="0"/>
    <x v="3"/>
    <n v="16"/>
    <n v="1097.8"/>
    <n v="17564.8"/>
    <x v="11"/>
    <x v="11"/>
    <n v="3"/>
    <x v="6"/>
  </r>
  <r>
    <d v="2025-06-15T00:00:00"/>
    <x v="7"/>
    <s v="Groceries"/>
    <x v="2"/>
    <x v="3"/>
    <n v="13"/>
    <n v="953.41"/>
    <n v="12394.33"/>
    <x v="4"/>
    <x v="4"/>
    <n v="1"/>
    <x v="4"/>
  </r>
  <r>
    <d v="2025-08-02T00:00:00"/>
    <x v="8"/>
    <s v="Beverage"/>
    <x v="2"/>
    <x v="5"/>
    <n v="10"/>
    <n v="1025.8"/>
    <n v="10258"/>
    <x v="8"/>
    <x v="8"/>
    <n v="7"/>
    <x v="0"/>
  </r>
  <r>
    <d v="2025-09-27T00:00:00"/>
    <x v="5"/>
    <s v="Food"/>
    <x v="0"/>
    <x v="5"/>
    <n v="19"/>
    <n v="1718.06"/>
    <n v="32643.14"/>
    <x v="7"/>
    <x v="7"/>
    <n v="7"/>
    <x v="0"/>
  </r>
  <r>
    <d v="2025-01-29T00:00:00"/>
    <x v="7"/>
    <s v="Beverage"/>
    <x v="3"/>
    <x v="1"/>
    <n v="19"/>
    <n v="984.11"/>
    <n v="18698.09"/>
    <x v="9"/>
    <x v="9"/>
    <n v="4"/>
    <x v="1"/>
  </r>
  <r>
    <d v="2025-01-08T00:00:00"/>
    <x v="5"/>
    <s v="Beverage"/>
    <x v="3"/>
    <x v="4"/>
    <n v="19"/>
    <n v="1105.8399999999999"/>
    <n v="21010.959999999999"/>
    <x v="9"/>
    <x v="9"/>
    <n v="4"/>
    <x v="1"/>
  </r>
  <r>
    <d v="2025-02-14T00:00:00"/>
    <x v="2"/>
    <s v="Groceries"/>
    <x v="3"/>
    <x v="1"/>
    <n v="3"/>
    <n v="736.09"/>
    <n v="2208.27"/>
    <x v="2"/>
    <x v="2"/>
    <n v="6"/>
    <x v="3"/>
  </r>
  <r>
    <d v="2025-11-11T00:00:00"/>
    <x v="8"/>
    <s v="Food"/>
    <x v="0"/>
    <x v="0"/>
    <n v="9"/>
    <n v="1241.6600000000001"/>
    <n v="11174.94"/>
    <x v="3"/>
    <x v="3"/>
    <n v="3"/>
    <x v="6"/>
  </r>
  <r>
    <d v="2025-04-22T00:00:00"/>
    <x v="8"/>
    <s v="Food"/>
    <x v="1"/>
    <x v="5"/>
    <n v="16"/>
    <n v="1205.3"/>
    <n v="19284.8"/>
    <x v="0"/>
    <x v="0"/>
    <n v="3"/>
    <x v="6"/>
  </r>
  <r>
    <d v="2025-11-01T00:00:00"/>
    <x v="4"/>
    <s v="Food"/>
    <x v="3"/>
    <x v="0"/>
    <n v="14"/>
    <n v="5055.6899999999996"/>
    <n v="70779.66"/>
    <x v="3"/>
    <x v="3"/>
    <n v="7"/>
    <x v="0"/>
  </r>
  <r>
    <d v="2025-10-05T00:00:00"/>
    <x v="9"/>
    <s v="Groceries"/>
    <x v="2"/>
    <x v="5"/>
    <n v="18"/>
    <n v="4398.91"/>
    <n v="79180.38"/>
    <x v="1"/>
    <x v="1"/>
    <n v="1"/>
    <x v="4"/>
  </r>
  <r>
    <d v="2025-02-12T00:00:00"/>
    <x v="3"/>
    <s v="Groceries"/>
    <x v="3"/>
    <x v="1"/>
    <n v="19"/>
    <n v="2246.7199999999998"/>
    <n v="42687.68"/>
    <x v="2"/>
    <x v="2"/>
    <n v="4"/>
    <x v="1"/>
  </r>
  <r>
    <d v="2025-06-08T00:00:00"/>
    <x v="4"/>
    <s v="Food"/>
    <x v="3"/>
    <x v="1"/>
    <n v="2"/>
    <n v="3624.28"/>
    <n v="7248.56"/>
    <x v="4"/>
    <x v="4"/>
    <n v="1"/>
    <x v="4"/>
  </r>
  <r>
    <d v="2025-01-06T00:00:00"/>
    <x v="2"/>
    <s v="Groceries"/>
    <x v="1"/>
    <x v="1"/>
    <n v="13"/>
    <n v="481.02"/>
    <n v="6253.26"/>
    <x v="9"/>
    <x v="9"/>
    <n v="2"/>
    <x v="2"/>
  </r>
  <r>
    <d v="2025-05-27T00:00:00"/>
    <x v="9"/>
    <s v="Beverage"/>
    <x v="0"/>
    <x v="0"/>
    <n v="2"/>
    <n v="3684.16"/>
    <n v="7368.32"/>
    <x v="11"/>
    <x v="11"/>
    <n v="3"/>
    <x v="6"/>
  </r>
  <r>
    <d v="2025-10-27T00:00:00"/>
    <x v="3"/>
    <s v="Groceries"/>
    <x v="0"/>
    <x v="2"/>
    <n v="15"/>
    <n v="2405.58"/>
    <n v="36083.699999999997"/>
    <x v="1"/>
    <x v="1"/>
    <n v="2"/>
    <x v="2"/>
  </r>
  <r>
    <d v="2025-04-20T00:00:00"/>
    <x v="4"/>
    <s v="Groceries"/>
    <x v="0"/>
    <x v="5"/>
    <n v="3"/>
    <n v="4474.7700000000004"/>
    <n v="13424.31"/>
    <x v="0"/>
    <x v="0"/>
    <n v="1"/>
    <x v="4"/>
  </r>
  <r>
    <d v="2025-01-26T00:00:00"/>
    <x v="9"/>
    <s v="Food"/>
    <x v="3"/>
    <x v="1"/>
    <n v="1"/>
    <n v="3310.31"/>
    <n v="3310.31"/>
    <x v="9"/>
    <x v="9"/>
    <n v="1"/>
    <x v="4"/>
  </r>
  <r>
    <d v="2025-08-01T00:00:00"/>
    <x v="5"/>
    <s v="Beverage"/>
    <x v="0"/>
    <x v="0"/>
    <n v="12"/>
    <n v="1707.78"/>
    <n v="20493.36"/>
    <x v="8"/>
    <x v="8"/>
    <n v="6"/>
    <x v="3"/>
  </r>
  <r>
    <d v="2025-12-13T00:00:00"/>
    <x v="6"/>
    <s v="Groceries"/>
    <x v="3"/>
    <x v="5"/>
    <n v="17"/>
    <n v="19114.77"/>
    <n v="324951.09000000003"/>
    <x v="5"/>
    <x v="5"/>
    <n v="7"/>
    <x v="0"/>
  </r>
  <r>
    <d v="2025-04-08T00:00:00"/>
    <x v="3"/>
    <s v="Groceries"/>
    <x v="0"/>
    <x v="3"/>
    <n v="16"/>
    <n v="2699.2"/>
    <n v="43187.199999999997"/>
    <x v="0"/>
    <x v="0"/>
    <n v="3"/>
    <x v="6"/>
  </r>
  <r>
    <d v="2025-06-21T00:00:00"/>
    <x v="2"/>
    <s v="Groceries"/>
    <x v="0"/>
    <x v="3"/>
    <n v="8"/>
    <n v="465.93"/>
    <n v="3727.44"/>
    <x v="4"/>
    <x v="4"/>
    <n v="7"/>
    <x v="0"/>
  </r>
  <r>
    <d v="2025-03-05T00:00:00"/>
    <x v="9"/>
    <s v="Groceries"/>
    <x v="0"/>
    <x v="5"/>
    <n v="11"/>
    <n v="3328.62"/>
    <n v="36614.82"/>
    <x v="10"/>
    <x v="10"/>
    <n v="4"/>
    <x v="1"/>
  </r>
  <r>
    <d v="2025-06-06T00:00:00"/>
    <x v="3"/>
    <s v="Groceries"/>
    <x v="0"/>
    <x v="3"/>
    <n v="7"/>
    <n v="2580.21"/>
    <n v="18061.47"/>
    <x v="4"/>
    <x v="4"/>
    <n v="6"/>
    <x v="3"/>
  </r>
  <r>
    <d v="2025-10-27T00:00:00"/>
    <x v="3"/>
    <s v="Groceries"/>
    <x v="0"/>
    <x v="5"/>
    <n v="10"/>
    <n v="2459.54"/>
    <n v="24595.4"/>
    <x v="1"/>
    <x v="1"/>
    <n v="2"/>
    <x v="2"/>
  </r>
  <r>
    <d v="2025-12-05T00:00:00"/>
    <x v="9"/>
    <s v="Groceries"/>
    <x v="2"/>
    <x v="1"/>
    <n v="13"/>
    <n v="3316.05"/>
    <n v="43108.65"/>
    <x v="5"/>
    <x v="5"/>
    <n v="6"/>
    <x v="3"/>
  </r>
  <r>
    <d v="2025-01-21T00:00:00"/>
    <x v="1"/>
    <s v="Food"/>
    <x v="2"/>
    <x v="3"/>
    <n v="5"/>
    <n v="1122.46"/>
    <n v="5612.3"/>
    <x v="9"/>
    <x v="9"/>
    <n v="3"/>
    <x v="6"/>
  </r>
  <r>
    <d v="2025-04-01T00:00:00"/>
    <x v="6"/>
    <s v="Food"/>
    <x v="1"/>
    <x v="2"/>
    <n v="18"/>
    <n v="14239.63"/>
    <n v="256313.34"/>
    <x v="0"/>
    <x v="0"/>
    <n v="3"/>
    <x v="6"/>
  </r>
  <r>
    <d v="2025-11-26T00:00:00"/>
    <x v="4"/>
    <s v="Food"/>
    <x v="1"/>
    <x v="1"/>
    <n v="11"/>
    <n v="5254.48"/>
    <n v="57799.28"/>
    <x v="3"/>
    <x v="3"/>
    <n v="4"/>
    <x v="1"/>
  </r>
  <r>
    <d v="2025-06-16T00:00:00"/>
    <x v="7"/>
    <s v="Groceries"/>
    <x v="2"/>
    <x v="5"/>
    <n v="1"/>
    <n v="603.88"/>
    <n v="603.88"/>
    <x v="4"/>
    <x v="4"/>
    <n v="2"/>
    <x v="2"/>
  </r>
  <r>
    <d v="2025-05-25T00:00:00"/>
    <x v="6"/>
    <s v="Food"/>
    <x v="3"/>
    <x v="1"/>
    <n v="3"/>
    <n v="18569.169999999998"/>
    <n v="55707.51"/>
    <x v="11"/>
    <x v="11"/>
    <n v="1"/>
    <x v="4"/>
  </r>
  <r>
    <d v="2025-06-01T00:00:00"/>
    <x v="6"/>
    <s v="Beverage"/>
    <x v="0"/>
    <x v="0"/>
    <n v="16"/>
    <n v="15872.51"/>
    <n v="253960.16"/>
    <x v="4"/>
    <x v="4"/>
    <n v="1"/>
    <x v="4"/>
  </r>
  <r>
    <d v="2025-07-29T00:00:00"/>
    <x v="4"/>
    <s v="Beverage"/>
    <x v="0"/>
    <x v="3"/>
    <n v="1"/>
    <n v="4482.26"/>
    <n v="4482.26"/>
    <x v="6"/>
    <x v="6"/>
    <n v="3"/>
    <x v="6"/>
  </r>
  <r>
    <d v="2025-12-01T00:00:00"/>
    <x v="2"/>
    <s v="Groceries"/>
    <x v="1"/>
    <x v="0"/>
    <n v="13"/>
    <n v="631.67999999999995"/>
    <n v="8211.84"/>
    <x v="5"/>
    <x v="5"/>
    <n v="2"/>
    <x v="2"/>
  </r>
  <r>
    <d v="2025-05-01T00:00:00"/>
    <x v="9"/>
    <s v="Food"/>
    <x v="3"/>
    <x v="5"/>
    <n v="7"/>
    <n v="3968.45"/>
    <n v="27779.15"/>
    <x v="11"/>
    <x v="11"/>
    <n v="5"/>
    <x v="5"/>
  </r>
  <r>
    <d v="2025-01-10T00:00:00"/>
    <x v="4"/>
    <s v="Beverage"/>
    <x v="3"/>
    <x v="4"/>
    <n v="9"/>
    <n v="5314.52"/>
    <n v="47830.68"/>
    <x v="9"/>
    <x v="9"/>
    <n v="6"/>
    <x v="3"/>
  </r>
  <r>
    <d v="2025-01-04T00:00:00"/>
    <x v="2"/>
    <s v="Food"/>
    <x v="2"/>
    <x v="3"/>
    <n v="4"/>
    <n v="515.76"/>
    <n v="2063.04"/>
    <x v="9"/>
    <x v="9"/>
    <n v="7"/>
    <x v="0"/>
  </r>
  <r>
    <d v="2025-05-22T00:00:00"/>
    <x v="7"/>
    <s v="Food"/>
    <x v="3"/>
    <x v="1"/>
    <n v="5"/>
    <n v="831"/>
    <n v="4155"/>
    <x v="11"/>
    <x v="11"/>
    <n v="5"/>
    <x v="5"/>
  </r>
  <r>
    <d v="2025-05-25T00:00:00"/>
    <x v="3"/>
    <s v="Food"/>
    <x v="2"/>
    <x v="2"/>
    <n v="10"/>
    <n v="2853.88"/>
    <n v="28538.799999999999"/>
    <x v="11"/>
    <x v="11"/>
    <n v="1"/>
    <x v="4"/>
  </r>
  <r>
    <d v="2025-07-07T00:00:00"/>
    <x v="4"/>
    <s v="Groceries"/>
    <x v="3"/>
    <x v="1"/>
    <n v="11"/>
    <n v="4161.95"/>
    <n v="45781.45"/>
    <x v="6"/>
    <x v="6"/>
    <n v="2"/>
    <x v="2"/>
  </r>
  <r>
    <d v="2025-10-24T00:00:00"/>
    <x v="0"/>
    <s v="Food"/>
    <x v="3"/>
    <x v="1"/>
    <n v="10"/>
    <n v="1496.44"/>
    <n v="14964.4"/>
    <x v="1"/>
    <x v="1"/>
    <n v="6"/>
    <x v="3"/>
  </r>
  <r>
    <d v="2025-03-13T00:00:00"/>
    <x v="0"/>
    <s v="Groceries"/>
    <x v="1"/>
    <x v="2"/>
    <n v="7"/>
    <n v="1543.12"/>
    <n v="10801.84"/>
    <x v="10"/>
    <x v="10"/>
    <n v="5"/>
    <x v="5"/>
  </r>
  <r>
    <d v="2025-12-06T00:00:00"/>
    <x v="5"/>
    <s v="Food"/>
    <x v="1"/>
    <x v="0"/>
    <n v="19"/>
    <n v="1847.66"/>
    <n v="35105.54"/>
    <x v="5"/>
    <x v="5"/>
    <n v="7"/>
    <x v="0"/>
  </r>
  <r>
    <d v="2025-08-10T00:00:00"/>
    <x v="4"/>
    <s v="Groceries"/>
    <x v="1"/>
    <x v="2"/>
    <n v="12"/>
    <n v="3663.4"/>
    <n v="43960.800000000003"/>
    <x v="8"/>
    <x v="8"/>
    <n v="1"/>
    <x v="4"/>
  </r>
  <r>
    <d v="2025-05-09T00:00:00"/>
    <x v="4"/>
    <s v="Food"/>
    <x v="1"/>
    <x v="2"/>
    <n v="10"/>
    <n v="5678.33"/>
    <n v="56783.3"/>
    <x v="11"/>
    <x v="11"/>
    <n v="6"/>
    <x v="3"/>
  </r>
  <r>
    <d v="2025-07-13T00:00:00"/>
    <x v="1"/>
    <s v="Groceries"/>
    <x v="1"/>
    <x v="5"/>
    <n v="5"/>
    <n v="755.4"/>
    <n v="3777"/>
    <x v="6"/>
    <x v="6"/>
    <n v="1"/>
    <x v="4"/>
  </r>
  <r>
    <d v="2025-11-10T00:00:00"/>
    <x v="7"/>
    <s v="Beverage"/>
    <x v="0"/>
    <x v="3"/>
    <n v="4"/>
    <n v="941.63"/>
    <n v="3766.52"/>
    <x v="3"/>
    <x v="3"/>
    <n v="2"/>
    <x v="2"/>
  </r>
  <r>
    <d v="2025-02-04T00:00:00"/>
    <x v="5"/>
    <s v="Beverage"/>
    <x v="2"/>
    <x v="5"/>
    <n v="6"/>
    <n v="1627.41"/>
    <n v="9764.4599999999991"/>
    <x v="2"/>
    <x v="2"/>
    <n v="3"/>
    <x v="6"/>
  </r>
  <r>
    <d v="2025-01-30T00:00:00"/>
    <x v="7"/>
    <s v="Food"/>
    <x v="2"/>
    <x v="5"/>
    <n v="8"/>
    <n v="599.54999999999995"/>
    <n v="4796.3999999999996"/>
    <x v="9"/>
    <x v="9"/>
    <n v="5"/>
    <x v="5"/>
  </r>
  <r>
    <d v="2025-03-20T00:00:00"/>
    <x v="0"/>
    <s v="Groceries"/>
    <x v="1"/>
    <x v="2"/>
    <n v="13"/>
    <n v="1458.26"/>
    <n v="18957.38"/>
    <x v="10"/>
    <x v="10"/>
    <n v="5"/>
    <x v="5"/>
  </r>
  <r>
    <d v="2025-06-03T00:00:00"/>
    <x v="1"/>
    <s v="Beverage"/>
    <x v="3"/>
    <x v="1"/>
    <n v="6"/>
    <n v="1002.77"/>
    <n v="6016.62"/>
    <x v="4"/>
    <x v="4"/>
    <n v="3"/>
    <x v="6"/>
  </r>
  <r>
    <d v="2025-08-02T00:00:00"/>
    <x v="9"/>
    <s v="Food"/>
    <x v="1"/>
    <x v="2"/>
    <n v="17"/>
    <n v="3855.65"/>
    <n v="65546.05"/>
    <x v="8"/>
    <x v="8"/>
    <n v="7"/>
    <x v="0"/>
  </r>
  <r>
    <d v="2025-11-26T00:00:00"/>
    <x v="1"/>
    <s v="Groceries"/>
    <x v="0"/>
    <x v="0"/>
    <n v="3"/>
    <n v="725.65"/>
    <n v="2176.9499999999998"/>
    <x v="3"/>
    <x v="3"/>
    <n v="4"/>
    <x v="1"/>
  </r>
  <r>
    <d v="2025-07-07T00:00:00"/>
    <x v="7"/>
    <s v="Beverage"/>
    <x v="3"/>
    <x v="1"/>
    <n v="7"/>
    <n v="920.88"/>
    <n v="6446.16"/>
    <x v="6"/>
    <x v="6"/>
    <n v="2"/>
    <x v="2"/>
  </r>
  <r>
    <d v="2025-11-23T00:00:00"/>
    <x v="7"/>
    <s v="Beverage"/>
    <x v="0"/>
    <x v="3"/>
    <n v="13"/>
    <n v="898.42"/>
    <n v="11679.46"/>
    <x v="3"/>
    <x v="3"/>
    <n v="1"/>
    <x v="4"/>
  </r>
  <r>
    <d v="2025-07-09T00:00:00"/>
    <x v="2"/>
    <s v="Beverage"/>
    <x v="3"/>
    <x v="5"/>
    <n v="3"/>
    <n v="480.79"/>
    <n v="1442.37"/>
    <x v="6"/>
    <x v="6"/>
    <n v="4"/>
    <x v="1"/>
  </r>
  <r>
    <d v="2025-04-13T00:00:00"/>
    <x v="5"/>
    <s v="Groceries"/>
    <x v="2"/>
    <x v="5"/>
    <n v="16"/>
    <n v="1814.19"/>
    <n v="29027.040000000001"/>
    <x v="0"/>
    <x v="0"/>
    <n v="1"/>
    <x v="4"/>
  </r>
  <r>
    <d v="2025-06-20T00:00:00"/>
    <x v="5"/>
    <s v="Food"/>
    <x v="0"/>
    <x v="5"/>
    <n v="10"/>
    <n v="1544.02"/>
    <n v="15440.2"/>
    <x v="4"/>
    <x v="4"/>
    <n v="6"/>
    <x v="3"/>
  </r>
  <r>
    <d v="2025-06-26T00:00:00"/>
    <x v="0"/>
    <s v="Food"/>
    <x v="2"/>
    <x v="5"/>
    <n v="17"/>
    <n v="1171.8499999999999"/>
    <n v="19921.45"/>
    <x v="4"/>
    <x v="4"/>
    <n v="5"/>
    <x v="5"/>
  </r>
  <r>
    <d v="2025-02-17T00:00:00"/>
    <x v="7"/>
    <s v="Groceries"/>
    <x v="1"/>
    <x v="5"/>
    <n v="14"/>
    <n v="882.09"/>
    <n v="12349.26"/>
    <x v="2"/>
    <x v="2"/>
    <n v="2"/>
    <x v="2"/>
  </r>
  <r>
    <d v="2025-09-09T00:00:00"/>
    <x v="6"/>
    <s v="Groceries"/>
    <x v="1"/>
    <x v="0"/>
    <n v="14"/>
    <n v="13434.97"/>
    <n v="188089.58"/>
    <x v="7"/>
    <x v="7"/>
    <n v="3"/>
    <x v="6"/>
  </r>
  <r>
    <d v="2025-03-19T00:00:00"/>
    <x v="9"/>
    <s v="Groceries"/>
    <x v="0"/>
    <x v="0"/>
    <n v="4"/>
    <n v="2939.45"/>
    <n v="11757.8"/>
    <x v="10"/>
    <x v="10"/>
    <n v="4"/>
    <x v="1"/>
  </r>
  <r>
    <d v="2025-03-19T00:00:00"/>
    <x v="7"/>
    <s v="Beverage"/>
    <x v="0"/>
    <x v="3"/>
    <n v="9"/>
    <n v="623.5"/>
    <n v="5611.5"/>
    <x v="10"/>
    <x v="10"/>
    <n v="4"/>
    <x v="1"/>
  </r>
  <r>
    <d v="2025-12-17T00:00:00"/>
    <x v="0"/>
    <s v="Food"/>
    <x v="2"/>
    <x v="3"/>
    <n v="2"/>
    <n v="1105.78"/>
    <n v="2211.56"/>
    <x v="5"/>
    <x v="5"/>
    <n v="4"/>
    <x v="1"/>
  </r>
  <r>
    <d v="2025-08-23T00:00:00"/>
    <x v="4"/>
    <s v="Food"/>
    <x v="1"/>
    <x v="0"/>
    <n v="7"/>
    <n v="6139.74"/>
    <n v="42978.18"/>
    <x v="8"/>
    <x v="8"/>
    <n v="7"/>
    <x v="0"/>
  </r>
  <r>
    <d v="2025-07-10T00:00:00"/>
    <x v="4"/>
    <s v="Beverage"/>
    <x v="1"/>
    <x v="5"/>
    <n v="2"/>
    <n v="3720.09"/>
    <n v="7440.18"/>
    <x v="6"/>
    <x v="6"/>
    <n v="5"/>
    <x v="5"/>
  </r>
  <r>
    <d v="2025-03-29T00:00:00"/>
    <x v="2"/>
    <s v="Beverage"/>
    <x v="2"/>
    <x v="2"/>
    <n v="3"/>
    <n v="742.22"/>
    <n v="2226.66"/>
    <x v="10"/>
    <x v="10"/>
    <n v="7"/>
    <x v="0"/>
  </r>
  <r>
    <d v="2025-11-01T00:00:00"/>
    <x v="1"/>
    <s v="Food"/>
    <x v="0"/>
    <x v="3"/>
    <n v="16"/>
    <n v="768.59"/>
    <n v="12297.44"/>
    <x v="3"/>
    <x v="3"/>
    <n v="7"/>
    <x v="0"/>
  </r>
  <r>
    <d v="2025-05-09T00:00:00"/>
    <x v="0"/>
    <s v="Food"/>
    <x v="0"/>
    <x v="0"/>
    <n v="6"/>
    <n v="1064.33"/>
    <n v="6385.98"/>
    <x v="11"/>
    <x v="11"/>
    <n v="6"/>
    <x v="3"/>
  </r>
  <r>
    <d v="2025-11-20T00:00:00"/>
    <x v="8"/>
    <s v="Groceries"/>
    <x v="2"/>
    <x v="1"/>
    <n v="8"/>
    <n v="987.22"/>
    <n v="7897.76"/>
    <x v="3"/>
    <x v="3"/>
    <n v="5"/>
    <x v="5"/>
  </r>
  <r>
    <d v="2025-07-03T00:00:00"/>
    <x v="3"/>
    <s v="Food"/>
    <x v="0"/>
    <x v="2"/>
    <n v="2"/>
    <n v="2001.72"/>
    <n v="4003.44"/>
    <x v="6"/>
    <x v="6"/>
    <n v="5"/>
    <x v="5"/>
  </r>
  <r>
    <d v="2025-09-07T00:00:00"/>
    <x v="6"/>
    <s v="Beverage"/>
    <x v="0"/>
    <x v="3"/>
    <n v="1"/>
    <n v="16850.060000000001"/>
    <n v="16850.060000000001"/>
    <x v="7"/>
    <x v="7"/>
    <n v="1"/>
    <x v="4"/>
  </r>
  <r>
    <d v="2025-05-11T00:00:00"/>
    <x v="0"/>
    <s v="Food"/>
    <x v="1"/>
    <x v="5"/>
    <n v="11"/>
    <n v="1375.7"/>
    <n v="15132.7"/>
    <x v="11"/>
    <x v="11"/>
    <n v="1"/>
    <x v="4"/>
  </r>
  <r>
    <d v="2025-06-09T00:00:00"/>
    <x v="1"/>
    <s v="Food"/>
    <x v="0"/>
    <x v="2"/>
    <n v="6"/>
    <n v="688.34"/>
    <n v="4130.04"/>
    <x v="4"/>
    <x v="4"/>
    <n v="2"/>
    <x v="2"/>
  </r>
  <r>
    <d v="2025-10-16T00:00:00"/>
    <x v="5"/>
    <s v="Beverage"/>
    <x v="1"/>
    <x v="2"/>
    <n v="13"/>
    <n v="1123.05"/>
    <n v="14599.65"/>
    <x v="1"/>
    <x v="1"/>
    <n v="5"/>
    <x v="5"/>
  </r>
  <r>
    <d v="2025-06-30T00:00:00"/>
    <x v="6"/>
    <s v="Food"/>
    <x v="0"/>
    <x v="3"/>
    <n v="10"/>
    <n v="18397.07"/>
    <n v="183970.7"/>
    <x v="4"/>
    <x v="4"/>
    <n v="2"/>
    <x v="2"/>
  </r>
  <r>
    <d v="2025-05-25T00:00:00"/>
    <x v="5"/>
    <s v="Beverage"/>
    <x v="0"/>
    <x v="0"/>
    <n v="2"/>
    <n v="1464.66"/>
    <n v="2929.32"/>
    <x v="11"/>
    <x v="11"/>
    <n v="1"/>
    <x v="4"/>
  </r>
  <r>
    <d v="2025-11-18T00:00:00"/>
    <x v="5"/>
    <s v="Beverage"/>
    <x v="1"/>
    <x v="0"/>
    <n v="1"/>
    <n v="1847.85"/>
    <n v="1847.85"/>
    <x v="3"/>
    <x v="3"/>
    <n v="3"/>
    <x v="6"/>
  </r>
  <r>
    <d v="2025-10-31T00:00:00"/>
    <x v="0"/>
    <s v="Beverage"/>
    <x v="0"/>
    <x v="3"/>
    <n v="14"/>
    <n v="1458.31"/>
    <n v="20416.34"/>
    <x v="1"/>
    <x v="1"/>
    <n v="6"/>
    <x v="3"/>
  </r>
  <r>
    <d v="2025-11-27T00:00:00"/>
    <x v="1"/>
    <s v="Groceries"/>
    <x v="3"/>
    <x v="5"/>
    <n v="6"/>
    <n v="812.16"/>
    <n v="4872.96"/>
    <x v="3"/>
    <x v="3"/>
    <n v="5"/>
    <x v="5"/>
  </r>
  <r>
    <d v="2025-11-23T00:00:00"/>
    <x v="6"/>
    <s v="Beverage"/>
    <x v="2"/>
    <x v="3"/>
    <n v="15"/>
    <n v="12164.28"/>
    <n v="182464.2"/>
    <x v="3"/>
    <x v="3"/>
    <n v="1"/>
    <x v="4"/>
  </r>
  <r>
    <d v="2025-11-14T00:00:00"/>
    <x v="4"/>
    <s v="Groceries"/>
    <x v="3"/>
    <x v="5"/>
    <n v="11"/>
    <n v="6215.9"/>
    <n v="68374.899999999994"/>
    <x v="3"/>
    <x v="3"/>
    <n v="6"/>
    <x v="3"/>
  </r>
  <r>
    <d v="2025-02-11T00:00:00"/>
    <x v="3"/>
    <s v="Food"/>
    <x v="0"/>
    <x v="0"/>
    <n v="17"/>
    <n v="2221.94"/>
    <n v="37772.980000000003"/>
    <x v="2"/>
    <x v="2"/>
    <n v="3"/>
    <x v="6"/>
  </r>
  <r>
    <d v="2025-07-25T00:00:00"/>
    <x v="2"/>
    <s v="Beverage"/>
    <x v="0"/>
    <x v="5"/>
    <n v="12"/>
    <n v="427.47"/>
    <n v="5129.6400000000003"/>
    <x v="6"/>
    <x v="6"/>
    <n v="6"/>
    <x v="3"/>
  </r>
  <r>
    <d v="2025-04-23T00:00:00"/>
    <x v="6"/>
    <s v="Food"/>
    <x v="2"/>
    <x v="1"/>
    <n v="1"/>
    <n v="19099.03"/>
    <n v="19099.03"/>
    <x v="0"/>
    <x v="0"/>
    <n v="4"/>
    <x v="1"/>
  </r>
  <r>
    <d v="2025-08-06T00:00:00"/>
    <x v="8"/>
    <s v="Food"/>
    <x v="3"/>
    <x v="4"/>
    <n v="8"/>
    <n v="827.37"/>
    <n v="6618.96"/>
    <x v="8"/>
    <x v="8"/>
    <n v="4"/>
    <x v="1"/>
  </r>
  <r>
    <d v="2025-03-05T00:00:00"/>
    <x v="0"/>
    <s v="Beverage"/>
    <x v="3"/>
    <x v="5"/>
    <n v="17"/>
    <n v="1430.13"/>
    <n v="24312.21"/>
    <x v="10"/>
    <x v="10"/>
    <n v="4"/>
    <x v="1"/>
  </r>
  <r>
    <d v="2025-01-23T00:00:00"/>
    <x v="5"/>
    <s v="Food"/>
    <x v="0"/>
    <x v="2"/>
    <n v="15"/>
    <n v="1840.57"/>
    <n v="27608.55"/>
    <x v="9"/>
    <x v="9"/>
    <n v="5"/>
    <x v="5"/>
  </r>
  <r>
    <d v="2025-07-24T00:00:00"/>
    <x v="5"/>
    <s v="Groceries"/>
    <x v="1"/>
    <x v="0"/>
    <n v="18"/>
    <n v="1329.28"/>
    <n v="23927.040000000001"/>
    <x v="6"/>
    <x v="6"/>
    <n v="5"/>
    <x v="5"/>
  </r>
  <r>
    <d v="2025-05-19T00:00:00"/>
    <x v="9"/>
    <s v="Beverage"/>
    <x v="3"/>
    <x v="1"/>
    <n v="1"/>
    <n v="2777.12"/>
    <n v="2777.12"/>
    <x v="11"/>
    <x v="11"/>
    <n v="2"/>
    <x v="2"/>
  </r>
  <r>
    <d v="2025-02-27T00:00:00"/>
    <x v="9"/>
    <s v="Groceries"/>
    <x v="1"/>
    <x v="1"/>
    <n v="1"/>
    <n v="2533.6"/>
    <n v="2533.6"/>
    <x v="2"/>
    <x v="2"/>
    <n v="5"/>
    <x v="5"/>
  </r>
  <r>
    <d v="2025-11-30T00:00:00"/>
    <x v="1"/>
    <s v="Food"/>
    <x v="0"/>
    <x v="2"/>
    <n v="13"/>
    <n v="1090.58"/>
    <n v="14177.54"/>
    <x v="3"/>
    <x v="3"/>
    <n v="1"/>
    <x v="4"/>
  </r>
  <r>
    <d v="2025-08-06T00:00:00"/>
    <x v="4"/>
    <s v="Food"/>
    <x v="2"/>
    <x v="0"/>
    <n v="1"/>
    <n v="5024.43"/>
    <n v="5024.43"/>
    <x v="8"/>
    <x v="8"/>
    <n v="4"/>
    <x v="1"/>
  </r>
  <r>
    <d v="2025-10-20T00:00:00"/>
    <x v="5"/>
    <s v="Beverage"/>
    <x v="2"/>
    <x v="0"/>
    <n v="3"/>
    <n v="1614.9"/>
    <n v="4844.7"/>
    <x v="1"/>
    <x v="1"/>
    <n v="2"/>
    <x v="2"/>
  </r>
  <r>
    <d v="2025-12-08T00:00:00"/>
    <x v="3"/>
    <s v="Food"/>
    <x v="2"/>
    <x v="3"/>
    <n v="7"/>
    <n v="3081.2"/>
    <n v="21568.400000000001"/>
    <x v="5"/>
    <x v="5"/>
    <n v="2"/>
    <x v="2"/>
  </r>
  <r>
    <d v="2025-02-01T00:00:00"/>
    <x v="3"/>
    <s v="Groceries"/>
    <x v="0"/>
    <x v="3"/>
    <n v="1"/>
    <n v="2592.8000000000002"/>
    <n v="2592.8000000000002"/>
    <x v="2"/>
    <x v="2"/>
    <n v="7"/>
    <x v="0"/>
  </r>
  <r>
    <d v="2025-06-28T00:00:00"/>
    <x v="9"/>
    <s v="Groceries"/>
    <x v="1"/>
    <x v="0"/>
    <n v="2"/>
    <n v="3896.5"/>
    <n v="7793"/>
    <x v="4"/>
    <x v="4"/>
    <n v="7"/>
    <x v="0"/>
  </r>
  <r>
    <d v="2025-05-05T00:00:00"/>
    <x v="6"/>
    <s v="Food"/>
    <x v="1"/>
    <x v="5"/>
    <n v="15"/>
    <n v="13199.08"/>
    <n v="197986.2"/>
    <x v="11"/>
    <x v="11"/>
    <n v="2"/>
    <x v="2"/>
  </r>
  <r>
    <d v="2025-07-22T00:00:00"/>
    <x v="2"/>
    <s v="Food"/>
    <x v="3"/>
    <x v="5"/>
    <n v="17"/>
    <n v="489.54"/>
    <n v="8322.18"/>
    <x v="6"/>
    <x v="6"/>
    <n v="3"/>
    <x v="6"/>
  </r>
  <r>
    <d v="2025-07-05T00:00:00"/>
    <x v="3"/>
    <s v="Beverage"/>
    <x v="1"/>
    <x v="2"/>
    <n v="18"/>
    <n v="3075.53"/>
    <n v="55359.54"/>
    <x v="6"/>
    <x v="6"/>
    <n v="7"/>
    <x v="0"/>
  </r>
  <r>
    <d v="2025-09-27T00:00:00"/>
    <x v="4"/>
    <s v="Groceries"/>
    <x v="3"/>
    <x v="0"/>
    <n v="1"/>
    <n v="6060.96"/>
    <n v="6060.96"/>
    <x v="7"/>
    <x v="7"/>
    <n v="7"/>
    <x v="0"/>
  </r>
  <r>
    <d v="2025-01-25T00:00:00"/>
    <x v="8"/>
    <s v="Groceries"/>
    <x v="2"/>
    <x v="3"/>
    <n v="13"/>
    <n v="1027.29"/>
    <n v="13354.77"/>
    <x v="9"/>
    <x v="9"/>
    <n v="7"/>
    <x v="0"/>
  </r>
  <r>
    <d v="2025-04-29T00:00:00"/>
    <x v="6"/>
    <s v="Food"/>
    <x v="3"/>
    <x v="1"/>
    <n v="2"/>
    <n v="14075.44"/>
    <n v="28150.880000000001"/>
    <x v="0"/>
    <x v="0"/>
    <n v="3"/>
    <x v="6"/>
  </r>
  <r>
    <d v="2025-11-13T00:00:00"/>
    <x v="2"/>
    <s v="Food"/>
    <x v="3"/>
    <x v="1"/>
    <n v="17"/>
    <n v="478.21"/>
    <n v="8129.57"/>
    <x v="3"/>
    <x v="3"/>
    <n v="5"/>
    <x v="5"/>
  </r>
  <r>
    <d v="2025-04-03T00:00:00"/>
    <x v="2"/>
    <s v="Beverage"/>
    <x v="0"/>
    <x v="3"/>
    <n v="18"/>
    <n v="738.41"/>
    <n v="13291.38"/>
    <x v="0"/>
    <x v="0"/>
    <n v="5"/>
    <x v="5"/>
  </r>
  <r>
    <d v="2025-05-31T00:00:00"/>
    <x v="1"/>
    <s v="Food"/>
    <x v="2"/>
    <x v="0"/>
    <n v="10"/>
    <n v="719.76"/>
    <n v="7197.6"/>
    <x v="11"/>
    <x v="11"/>
    <n v="7"/>
    <x v="0"/>
  </r>
  <r>
    <d v="2025-04-10T00:00:00"/>
    <x v="3"/>
    <s v="Food"/>
    <x v="2"/>
    <x v="3"/>
    <n v="4"/>
    <n v="3178.09"/>
    <n v="12712.36"/>
    <x v="0"/>
    <x v="0"/>
    <n v="5"/>
    <x v="5"/>
  </r>
  <r>
    <d v="2025-02-16T00:00:00"/>
    <x v="4"/>
    <s v="Food"/>
    <x v="0"/>
    <x v="5"/>
    <n v="15"/>
    <n v="4149.74"/>
    <n v="62246.1"/>
    <x v="2"/>
    <x v="2"/>
    <n v="1"/>
    <x v="4"/>
  </r>
  <r>
    <d v="2025-09-03T00:00:00"/>
    <x v="7"/>
    <s v="Beverage"/>
    <x v="3"/>
    <x v="0"/>
    <n v="14"/>
    <n v="1021.54"/>
    <n v="14301.56"/>
    <x v="7"/>
    <x v="7"/>
    <n v="4"/>
    <x v="1"/>
  </r>
  <r>
    <d v="2025-12-03T00:00:00"/>
    <x v="8"/>
    <s v="Groceries"/>
    <x v="1"/>
    <x v="2"/>
    <n v="10"/>
    <n v="1032.1400000000001"/>
    <n v="10321.4"/>
    <x v="5"/>
    <x v="5"/>
    <n v="4"/>
    <x v="1"/>
  </r>
  <r>
    <d v="2025-03-16T00:00:00"/>
    <x v="6"/>
    <s v="Groceries"/>
    <x v="0"/>
    <x v="5"/>
    <n v="17"/>
    <n v="18136.25"/>
    <n v="308316.25"/>
    <x v="10"/>
    <x v="10"/>
    <n v="1"/>
    <x v="4"/>
  </r>
  <r>
    <d v="2025-12-20T00:00:00"/>
    <x v="2"/>
    <s v="Food"/>
    <x v="1"/>
    <x v="2"/>
    <n v="16"/>
    <n v="434.78"/>
    <n v="6956.48"/>
    <x v="5"/>
    <x v="5"/>
    <n v="7"/>
    <x v="0"/>
  </r>
  <r>
    <d v="2025-11-05T00:00:00"/>
    <x v="6"/>
    <s v="Food"/>
    <x v="2"/>
    <x v="0"/>
    <n v="16"/>
    <n v="13987.2"/>
    <n v="223795.20000000001"/>
    <x v="3"/>
    <x v="3"/>
    <n v="4"/>
    <x v="1"/>
  </r>
  <r>
    <d v="2025-07-18T00:00:00"/>
    <x v="5"/>
    <s v="Beverage"/>
    <x v="3"/>
    <x v="4"/>
    <n v="16"/>
    <n v="1645.53"/>
    <n v="26328.48"/>
    <x v="6"/>
    <x v="6"/>
    <n v="6"/>
    <x v="3"/>
  </r>
  <r>
    <d v="2025-11-29T00:00:00"/>
    <x v="1"/>
    <s v="Beverage"/>
    <x v="1"/>
    <x v="2"/>
    <n v="13"/>
    <n v="835.46"/>
    <n v="10860.98"/>
    <x v="3"/>
    <x v="3"/>
    <n v="7"/>
    <x v="0"/>
  </r>
  <r>
    <d v="2025-03-08T00:00:00"/>
    <x v="1"/>
    <s v="Groceries"/>
    <x v="1"/>
    <x v="2"/>
    <n v="17"/>
    <n v="1114.9000000000001"/>
    <n v="18953.3"/>
    <x v="10"/>
    <x v="10"/>
    <n v="7"/>
    <x v="0"/>
  </r>
  <r>
    <d v="2025-02-13T00:00:00"/>
    <x v="6"/>
    <s v="Food"/>
    <x v="1"/>
    <x v="0"/>
    <n v="12"/>
    <n v="11611.05"/>
    <n v="139332.6"/>
    <x v="2"/>
    <x v="2"/>
    <n v="5"/>
    <x v="5"/>
  </r>
  <r>
    <d v="2025-10-30T00:00:00"/>
    <x v="0"/>
    <s v="Beverage"/>
    <x v="1"/>
    <x v="2"/>
    <n v="15"/>
    <n v="1080.24"/>
    <n v="16203.6"/>
    <x v="1"/>
    <x v="1"/>
    <n v="5"/>
    <x v="5"/>
  </r>
  <r>
    <d v="2025-12-02T00:00:00"/>
    <x v="3"/>
    <s v="Groceries"/>
    <x v="1"/>
    <x v="5"/>
    <n v="12"/>
    <n v="2801.3"/>
    <n v="33615.599999999999"/>
    <x v="5"/>
    <x v="5"/>
    <n v="3"/>
    <x v="6"/>
  </r>
  <r>
    <d v="2025-04-09T00:00:00"/>
    <x v="7"/>
    <s v="Beverage"/>
    <x v="3"/>
    <x v="1"/>
    <n v="14"/>
    <n v="592.85"/>
    <n v="8299.9"/>
    <x v="0"/>
    <x v="0"/>
    <n v="4"/>
    <x v="1"/>
  </r>
  <r>
    <d v="2025-07-10T00:00:00"/>
    <x v="0"/>
    <s v="Beverage"/>
    <x v="1"/>
    <x v="2"/>
    <n v="19"/>
    <n v="978.05"/>
    <n v="18582.95"/>
    <x v="6"/>
    <x v="6"/>
    <n v="5"/>
    <x v="5"/>
  </r>
  <r>
    <d v="2025-02-17T00:00:00"/>
    <x v="7"/>
    <s v="Beverage"/>
    <x v="3"/>
    <x v="5"/>
    <n v="11"/>
    <n v="600.45000000000005"/>
    <n v="6604.95"/>
    <x v="2"/>
    <x v="2"/>
    <n v="2"/>
    <x v="2"/>
  </r>
  <r>
    <d v="2025-05-14T00:00:00"/>
    <x v="8"/>
    <s v="Groceries"/>
    <x v="0"/>
    <x v="5"/>
    <n v="5"/>
    <n v="1123.96"/>
    <n v="5619.8"/>
    <x v="11"/>
    <x v="11"/>
    <n v="4"/>
    <x v="1"/>
  </r>
  <r>
    <d v="2025-10-19T00:00:00"/>
    <x v="4"/>
    <s v="Groceries"/>
    <x v="0"/>
    <x v="3"/>
    <n v="6"/>
    <n v="4135.24"/>
    <n v="24811.439999999999"/>
    <x v="1"/>
    <x v="1"/>
    <n v="1"/>
    <x v="4"/>
  </r>
  <r>
    <d v="2025-11-23T00:00:00"/>
    <x v="8"/>
    <s v="Food"/>
    <x v="0"/>
    <x v="0"/>
    <n v="3"/>
    <n v="883.76"/>
    <n v="2651.28"/>
    <x v="3"/>
    <x v="3"/>
    <n v="1"/>
    <x v="4"/>
  </r>
  <r>
    <d v="2025-01-14T00:00:00"/>
    <x v="1"/>
    <s v="Beverage"/>
    <x v="3"/>
    <x v="0"/>
    <n v="9"/>
    <n v="1073.69"/>
    <n v="9663.2099999999991"/>
    <x v="9"/>
    <x v="9"/>
    <n v="3"/>
    <x v="6"/>
  </r>
  <r>
    <d v="2025-05-24T00:00:00"/>
    <x v="7"/>
    <s v="Beverage"/>
    <x v="0"/>
    <x v="5"/>
    <n v="1"/>
    <n v="830.92"/>
    <n v="830.92"/>
    <x v="11"/>
    <x v="11"/>
    <n v="7"/>
    <x v="0"/>
  </r>
  <r>
    <d v="2025-01-04T00:00:00"/>
    <x v="1"/>
    <s v="Food"/>
    <x v="1"/>
    <x v="0"/>
    <n v="4"/>
    <n v="944.65"/>
    <n v="3778.6"/>
    <x v="9"/>
    <x v="9"/>
    <n v="7"/>
    <x v="0"/>
  </r>
  <r>
    <d v="2025-01-19T00:00:00"/>
    <x v="3"/>
    <s v="Food"/>
    <x v="1"/>
    <x v="0"/>
    <n v="6"/>
    <n v="2038.04"/>
    <n v="12228.24"/>
    <x v="9"/>
    <x v="9"/>
    <n v="1"/>
    <x v="4"/>
  </r>
  <r>
    <d v="2025-11-02T00:00:00"/>
    <x v="4"/>
    <s v="Groceries"/>
    <x v="3"/>
    <x v="1"/>
    <n v="2"/>
    <n v="5085.97"/>
    <n v="10171.94"/>
    <x v="3"/>
    <x v="3"/>
    <n v="1"/>
    <x v="4"/>
  </r>
  <r>
    <d v="2025-05-18T00:00:00"/>
    <x v="8"/>
    <s v="Beverage"/>
    <x v="2"/>
    <x v="2"/>
    <n v="16"/>
    <n v="811.47"/>
    <n v="12983.52"/>
    <x v="11"/>
    <x v="11"/>
    <n v="1"/>
    <x v="4"/>
  </r>
  <r>
    <d v="2025-12-27T00:00:00"/>
    <x v="9"/>
    <s v="Beverage"/>
    <x v="2"/>
    <x v="1"/>
    <n v="12"/>
    <n v="3178.7"/>
    <n v="38144.400000000001"/>
    <x v="5"/>
    <x v="5"/>
    <n v="7"/>
    <x v="0"/>
  </r>
  <r>
    <d v="2025-06-15T00:00:00"/>
    <x v="0"/>
    <s v="Groceries"/>
    <x v="0"/>
    <x v="3"/>
    <n v="1"/>
    <n v="1361.78"/>
    <n v="1361.78"/>
    <x v="4"/>
    <x v="4"/>
    <n v="1"/>
    <x v="4"/>
  </r>
  <r>
    <d v="2025-10-20T00:00:00"/>
    <x v="9"/>
    <s v="Food"/>
    <x v="3"/>
    <x v="4"/>
    <n v="10"/>
    <n v="4383.13"/>
    <n v="43831.3"/>
    <x v="1"/>
    <x v="1"/>
    <n v="2"/>
    <x v="2"/>
  </r>
  <r>
    <d v="2025-05-24T00:00:00"/>
    <x v="7"/>
    <s v="Beverage"/>
    <x v="1"/>
    <x v="5"/>
    <n v="10"/>
    <n v="882.92"/>
    <n v="8829.2000000000007"/>
    <x v="11"/>
    <x v="11"/>
    <n v="7"/>
    <x v="0"/>
  </r>
  <r>
    <d v="2025-09-04T00:00:00"/>
    <x v="9"/>
    <s v="Food"/>
    <x v="2"/>
    <x v="3"/>
    <n v="18"/>
    <n v="2607.2800000000002"/>
    <n v="46931.040000000001"/>
    <x v="7"/>
    <x v="7"/>
    <n v="5"/>
    <x v="5"/>
  </r>
  <r>
    <d v="2025-11-08T00:00:00"/>
    <x v="0"/>
    <s v="Beverage"/>
    <x v="0"/>
    <x v="0"/>
    <n v="14"/>
    <n v="1436.14"/>
    <n v="20105.96"/>
    <x v="3"/>
    <x v="3"/>
    <n v="7"/>
    <x v="0"/>
  </r>
  <r>
    <d v="2025-02-01T00:00:00"/>
    <x v="1"/>
    <s v="Beverage"/>
    <x v="2"/>
    <x v="5"/>
    <n v="2"/>
    <n v="847.25"/>
    <n v="1694.5"/>
    <x v="2"/>
    <x v="2"/>
    <n v="7"/>
    <x v="0"/>
  </r>
  <r>
    <d v="2025-08-19T00:00:00"/>
    <x v="5"/>
    <s v="Food"/>
    <x v="0"/>
    <x v="3"/>
    <n v="2"/>
    <n v="1286.17"/>
    <n v="2572.34"/>
    <x v="8"/>
    <x v="8"/>
    <n v="3"/>
    <x v="6"/>
  </r>
  <r>
    <d v="2025-08-16T00:00:00"/>
    <x v="3"/>
    <s v="Groceries"/>
    <x v="0"/>
    <x v="0"/>
    <n v="18"/>
    <n v="2248.64"/>
    <n v="40475.519999999997"/>
    <x v="8"/>
    <x v="8"/>
    <n v="7"/>
    <x v="0"/>
  </r>
  <r>
    <d v="2025-03-28T00:00:00"/>
    <x v="2"/>
    <s v="Food"/>
    <x v="1"/>
    <x v="2"/>
    <n v="10"/>
    <n v="565.53"/>
    <n v="5655.3"/>
    <x v="10"/>
    <x v="10"/>
    <n v="6"/>
    <x v="3"/>
  </r>
  <r>
    <d v="2025-06-25T00:00:00"/>
    <x v="3"/>
    <s v="Beverage"/>
    <x v="1"/>
    <x v="2"/>
    <n v="1"/>
    <n v="2651.19"/>
    <n v="2651.19"/>
    <x v="4"/>
    <x v="4"/>
    <n v="4"/>
    <x v="1"/>
  </r>
  <r>
    <d v="2025-10-22T00:00:00"/>
    <x v="4"/>
    <s v="Beverage"/>
    <x v="0"/>
    <x v="0"/>
    <n v="5"/>
    <n v="4370.13"/>
    <n v="21850.65"/>
    <x v="1"/>
    <x v="1"/>
    <n v="4"/>
    <x v="1"/>
  </r>
  <r>
    <d v="2025-10-05T00:00:00"/>
    <x v="9"/>
    <s v="Food"/>
    <x v="3"/>
    <x v="0"/>
    <n v="8"/>
    <n v="2811.02"/>
    <n v="22488.16"/>
    <x v="1"/>
    <x v="1"/>
    <n v="1"/>
    <x v="4"/>
  </r>
  <r>
    <d v="2025-04-21T00:00:00"/>
    <x v="8"/>
    <s v="Beverage"/>
    <x v="1"/>
    <x v="1"/>
    <n v="19"/>
    <n v="905.97"/>
    <n v="17213.43"/>
    <x v="0"/>
    <x v="0"/>
    <n v="2"/>
    <x v="2"/>
  </r>
  <r>
    <d v="2025-03-30T00:00:00"/>
    <x v="2"/>
    <s v="Groceries"/>
    <x v="1"/>
    <x v="0"/>
    <n v="12"/>
    <n v="746.24"/>
    <n v="8954.8799999999992"/>
    <x v="10"/>
    <x v="10"/>
    <n v="1"/>
    <x v="4"/>
  </r>
  <r>
    <d v="2025-04-17T00:00:00"/>
    <x v="3"/>
    <s v="Food"/>
    <x v="2"/>
    <x v="2"/>
    <n v="2"/>
    <n v="1765.83"/>
    <n v="3531.66"/>
    <x v="0"/>
    <x v="0"/>
    <n v="5"/>
    <x v="5"/>
  </r>
  <r>
    <d v="2025-10-08T00:00:00"/>
    <x v="1"/>
    <s v="Groceries"/>
    <x v="3"/>
    <x v="4"/>
    <n v="9"/>
    <n v="849.46"/>
    <n v="7645.14"/>
    <x v="1"/>
    <x v="1"/>
    <n v="4"/>
    <x v="1"/>
  </r>
  <r>
    <d v="2025-01-05T00:00:00"/>
    <x v="1"/>
    <s v="Food"/>
    <x v="2"/>
    <x v="1"/>
    <n v="14"/>
    <n v="797.23"/>
    <n v="11161.22"/>
    <x v="9"/>
    <x v="9"/>
    <n v="1"/>
    <x v="4"/>
  </r>
  <r>
    <d v="2025-12-27T00:00:00"/>
    <x v="2"/>
    <s v="Groceries"/>
    <x v="0"/>
    <x v="2"/>
    <n v="3"/>
    <n v="528.35"/>
    <n v="1585.05"/>
    <x v="5"/>
    <x v="5"/>
    <n v="7"/>
    <x v="0"/>
  </r>
  <r>
    <d v="2025-08-27T00:00:00"/>
    <x v="0"/>
    <s v="Food"/>
    <x v="1"/>
    <x v="2"/>
    <n v="4"/>
    <n v="1002.57"/>
    <n v="4010.28"/>
    <x v="8"/>
    <x v="8"/>
    <n v="4"/>
    <x v="1"/>
  </r>
  <r>
    <d v="2025-01-26T00:00:00"/>
    <x v="8"/>
    <s v="Groceries"/>
    <x v="2"/>
    <x v="1"/>
    <n v="16"/>
    <n v="851.52"/>
    <n v="13624.32"/>
    <x v="9"/>
    <x v="9"/>
    <n v="1"/>
    <x v="4"/>
  </r>
  <r>
    <d v="2025-08-06T00:00:00"/>
    <x v="5"/>
    <s v="Food"/>
    <x v="0"/>
    <x v="5"/>
    <n v="16"/>
    <n v="1357.68"/>
    <n v="21722.880000000001"/>
    <x v="8"/>
    <x v="8"/>
    <n v="4"/>
    <x v="1"/>
  </r>
  <r>
    <d v="2025-09-11T00:00:00"/>
    <x v="0"/>
    <s v="Groceries"/>
    <x v="2"/>
    <x v="0"/>
    <n v="12"/>
    <n v="1160.99"/>
    <n v="13931.88"/>
    <x v="7"/>
    <x v="7"/>
    <n v="5"/>
    <x v="5"/>
  </r>
  <r>
    <d v="2025-12-22T00:00:00"/>
    <x v="6"/>
    <s v="Food"/>
    <x v="3"/>
    <x v="1"/>
    <n v="3"/>
    <n v="11703.26"/>
    <n v="35109.78"/>
    <x v="5"/>
    <x v="5"/>
    <n v="2"/>
    <x v="2"/>
  </r>
  <r>
    <d v="2025-08-13T00:00:00"/>
    <x v="5"/>
    <s v="Beverage"/>
    <x v="2"/>
    <x v="0"/>
    <n v="14"/>
    <n v="1139.31"/>
    <n v="15950.34"/>
    <x v="8"/>
    <x v="8"/>
    <n v="4"/>
    <x v="1"/>
  </r>
  <r>
    <d v="2025-11-19T00:00:00"/>
    <x v="8"/>
    <s v="Food"/>
    <x v="0"/>
    <x v="3"/>
    <n v="8"/>
    <n v="1254.2"/>
    <n v="10033.6"/>
    <x v="3"/>
    <x v="3"/>
    <n v="4"/>
    <x v="1"/>
  </r>
  <r>
    <d v="2025-11-02T00:00:00"/>
    <x v="1"/>
    <s v="Groceries"/>
    <x v="2"/>
    <x v="1"/>
    <n v="19"/>
    <n v="760.82"/>
    <n v="14455.58"/>
    <x v="3"/>
    <x v="3"/>
    <n v="1"/>
    <x v="4"/>
  </r>
  <r>
    <d v="2025-01-10T00:00:00"/>
    <x v="9"/>
    <s v="Groceries"/>
    <x v="1"/>
    <x v="2"/>
    <n v="12"/>
    <n v="2951.93"/>
    <n v="35423.160000000003"/>
    <x v="9"/>
    <x v="9"/>
    <n v="6"/>
    <x v="3"/>
  </r>
  <r>
    <d v="2025-04-10T00:00:00"/>
    <x v="7"/>
    <s v="Food"/>
    <x v="2"/>
    <x v="1"/>
    <n v="18"/>
    <n v="915.62"/>
    <n v="16481.16"/>
    <x v="0"/>
    <x v="0"/>
    <n v="5"/>
    <x v="5"/>
  </r>
  <r>
    <d v="2025-03-03T00:00:00"/>
    <x v="4"/>
    <s v="Groceries"/>
    <x v="1"/>
    <x v="2"/>
    <n v="14"/>
    <n v="4681.2700000000004"/>
    <n v="65537.78"/>
    <x v="10"/>
    <x v="10"/>
    <n v="2"/>
    <x v="2"/>
  </r>
  <r>
    <d v="2025-09-11T00:00:00"/>
    <x v="3"/>
    <s v="Groceries"/>
    <x v="3"/>
    <x v="0"/>
    <n v="16"/>
    <n v="1837.69"/>
    <n v="29403.040000000001"/>
    <x v="7"/>
    <x v="7"/>
    <n v="5"/>
    <x v="5"/>
  </r>
  <r>
    <d v="2025-03-09T00:00:00"/>
    <x v="3"/>
    <s v="Beverage"/>
    <x v="2"/>
    <x v="0"/>
    <n v="17"/>
    <n v="2349.9699999999998"/>
    <n v="39949.49"/>
    <x v="10"/>
    <x v="10"/>
    <n v="1"/>
    <x v="4"/>
  </r>
  <r>
    <d v="2025-12-12T00:00:00"/>
    <x v="2"/>
    <s v="Groceries"/>
    <x v="1"/>
    <x v="0"/>
    <n v="7"/>
    <n v="426"/>
    <n v="2982"/>
    <x v="5"/>
    <x v="5"/>
    <n v="6"/>
    <x v="3"/>
  </r>
  <r>
    <d v="2025-10-20T00:00:00"/>
    <x v="5"/>
    <s v="Beverage"/>
    <x v="3"/>
    <x v="1"/>
    <n v="9"/>
    <n v="1576.77"/>
    <n v="14190.93"/>
    <x v="1"/>
    <x v="1"/>
    <n v="2"/>
    <x v="2"/>
  </r>
  <r>
    <d v="2025-08-02T00:00:00"/>
    <x v="3"/>
    <s v="Food"/>
    <x v="3"/>
    <x v="5"/>
    <n v="11"/>
    <n v="2502.92"/>
    <n v="27532.12"/>
    <x v="8"/>
    <x v="8"/>
    <n v="7"/>
    <x v="0"/>
  </r>
  <r>
    <d v="2025-08-03T00:00:00"/>
    <x v="6"/>
    <s v="Beverage"/>
    <x v="3"/>
    <x v="1"/>
    <n v="15"/>
    <n v="16956.259999999998"/>
    <n v="254343.9"/>
    <x v="8"/>
    <x v="8"/>
    <n v="1"/>
    <x v="4"/>
  </r>
  <r>
    <d v="2025-01-27T00:00:00"/>
    <x v="0"/>
    <s v="Beverage"/>
    <x v="3"/>
    <x v="4"/>
    <n v="3"/>
    <n v="1341.96"/>
    <n v="4025.88"/>
    <x v="9"/>
    <x v="9"/>
    <n v="2"/>
    <x v="2"/>
  </r>
  <r>
    <d v="2025-12-07T00:00:00"/>
    <x v="3"/>
    <s v="Food"/>
    <x v="1"/>
    <x v="2"/>
    <n v="17"/>
    <n v="1916.73"/>
    <n v="32584.41"/>
    <x v="5"/>
    <x v="5"/>
    <n v="1"/>
    <x v="4"/>
  </r>
  <r>
    <d v="2025-11-07T00:00:00"/>
    <x v="0"/>
    <s v="Groceries"/>
    <x v="3"/>
    <x v="0"/>
    <n v="15"/>
    <n v="1432.35"/>
    <n v="21485.25"/>
    <x v="3"/>
    <x v="3"/>
    <n v="6"/>
    <x v="3"/>
  </r>
  <r>
    <d v="2025-01-16T00:00:00"/>
    <x v="8"/>
    <s v="Food"/>
    <x v="0"/>
    <x v="3"/>
    <n v="18"/>
    <n v="1203.67"/>
    <n v="21666.06"/>
    <x v="9"/>
    <x v="9"/>
    <n v="5"/>
    <x v="5"/>
  </r>
  <r>
    <d v="2025-02-14T00:00:00"/>
    <x v="3"/>
    <s v="Beverage"/>
    <x v="1"/>
    <x v="2"/>
    <n v="4"/>
    <n v="2823.07"/>
    <n v="11292.28"/>
    <x v="2"/>
    <x v="2"/>
    <n v="6"/>
    <x v="3"/>
  </r>
  <r>
    <d v="2025-01-19T00:00:00"/>
    <x v="5"/>
    <s v="Food"/>
    <x v="3"/>
    <x v="1"/>
    <n v="4"/>
    <n v="1388.27"/>
    <n v="5553.08"/>
    <x v="9"/>
    <x v="9"/>
    <n v="1"/>
    <x v="4"/>
  </r>
  <r>
    <d v="2025-07-12T00:00:00"/>
    <x v="8"/>
    <s v="Groceries"/>
    <x v="1"/>
    <x v="0"/>
    <n v="9"/>
    <n v="807.5"/>
    <n v="7267.5"/>
    <x v="6"/>
    <x v="6"/>
    <n v="7"/>
    <x v="0"/>
  </r>
  <r>
    <d v="2025-01-10T00:00:00"/>
    <x v="9"/>
    <s v="Groceries"/>
    <x v="3"/>
    <x v="5"/>
    <n v="8"/>
    <n v="2711.76"/>
    <n v="21694.080000000002"/>
    <x v="9"/>
    <x v="9"/>
    <n v="6"/>
    <x v="3"/>
  </r>
  <r>
    <d v="2025-08-18T00:00:00"/>
    <x v="8"/>
    <s v="Beverage"/>
    <x v="2"/>
    <x v="3"/>
    <n v="9"/>
    <n v="728.24"/>
    <n v="6554.16"/>
    <x v="8"/>
    <x v="8"/>
    <n v="2"/>
    <x v="2"/>
  </r>
  <r>
    <d v="2025-02-27T00:00:00"/>
    <x v="4"/>
    <s v="Beverage"/>
    <x v="0"/>
    <x v="2"/>
    <n v="8"/>
    <n v="4785.0600000000004"/>
    <n v="38280.480000000003"/>
    <x v="2"/>
    <x v="2"/>
    <n v="5"/>
    <x v="5"/>
  </r>
  <r>
    <d v="2025-03-03T00:00:00"/>
    <x v="7"/>
    <s v="Beverage"/>
    <x v="2"/>
    <x v="1"/>
    <n v="14"/>
    <n v="852.56"/>
    <n v="11935.84"/>
    <x v="10"/>
    <x v="10"/>
    <n v="2"/>
    <x v="2"/>
  </r>
  <r>
    <d v="2025-08-08T00:00:00"/>
    <x v="6"/>
    <s v="Beverage"/>
    <x v="3"/>
    <x v="0"/>
    <n v="6"/>
    <n v="18679.79"/>
    <n v="112078.74"/>
    <x v="8"/>
    <x v="8"/>
    <n v="6"/>
    <x v="3"/>
  </r>
  <r>
    <d v="2025-03-11T00:00:00"/>
    <x v="1"/>
    <s v="Groceries"/>
    <x v="2"/>
    <x v="2"/>
    <n v="16"/>
    <n v="1149.51"/>
    <n v="18392.16"/>
    <x v="10"/>
    <x v="10"/>
    <n v="3"/>
    <x v="6"/>
  </r>
  <r>
    <d v="2025-06-30T00:00:00"/>
    <x v="4"/>
    <s v="Food"/>
    <x v="3"/>
    <x v="1"/>
    <n v="18"/>
    <n v="4472.99"/>
    <n v="80513.820000000007"/>
    <x v="4"/>
    <x v="4"/>
    <n v="2"/>
    <x v="2"/>
  </r>
  <r>
    <d v="2025-02-26T00:00:00"/>
    <x v="7"/>
    <s v="Food"/>
    <x v="2"/>
    <x v="1"/>
    <n v="3"/>
    <n v="953.88"/>
    <n v="2861.64"/>
    <x v="2"/>
    <x v="2"/>
    <n v="4"/>
    <x v="1"/>
  </r>
  <r>
    <d v="2025-08-14T00:00:00"/>
    <x v="4"/>
    <s v="Groceries"/>
    <x v="2"/>
    <x v="1"/>
    <n v="6"/>
    <n v="3691.7"/>
    <n v="22150.2"/>
    <x v="8"/>
    <x v="8"/>
    <n v="5"/>
    <x v="5"/>
  </r>
  <r>
    <d v="2025-06-20T00:00:00"/>
    <x v="3"/>
    <s v="Food"/>
    <x v="3"/>
    <x v="5"/>
    <n v="13"/>
    <n v="2270.79"/>
    <n v="29520.27"/>
    <x v="4"/>
    <x v="4"/>
    <n v="6"/>
    <x v="3"/>
  </r>
  <r>
    <d v="2025-07-19T00:00:00"/>
    <x v="6"/>
    <s v="Food"/>
    <x v="1"/>
    <x v="5"/>
    <n v="19"/>
    <n v="16617.34"/>
    <n v="315729.46000000002"/>
    <x v="6"/>
    <x v="6"/>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18D5B9-74A1-4F60-9FE4-A60B64BF749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G13" firstHeaderRow="1" firstDataRow="1" firstDataCol="1"/>
  <pivotFields count="12">
    <pivotField showAll="0"/>
    <pivotField axis="axisRow" showAll="0">
      <items count="14">
        <item x="7"/>
        <item m="1" x="11"/>
        <item x="3"/>
        <item x="9"/>
        <item x="0"/>
        <item x="5"/>
        <item m="1" x="12"/>
        <item m="1" x="10"/>
        <item x="8"/>
        <item x="1"/>
        <item x="2"/>
        <item x="4"/>
        <item x="6"/>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10">
    <i>
      <x/>
    </i>
    <i>
      <x v="2"/>
    </i>
    <i>
      <x v="3"/>
    </i>
    <i>
      <x v="4"/>
    </i>
    <i>
      <x v="5"/>
    </i>
    <i>
      <x v="8"/>
    </i>
    <i>
      <x v="9"/>
    </i>
    <i>
      <x v="10"/>
    </i>
    <i>
      <x v="11"/>
    </i>
    <i>
      <x v="12"/>
    </i>
  </rowItems>
  <colItems count="1">
    <i/>
  </colItem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34E9F6-C864-4F35-BC1E-47E4544BDF79}" name="total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pivotField showAll="0"/>
    <pivotField showAll="0"/>
    <pivotField dataField="1" showAll="0"/>
    <pivotField showAll="0"/>
    <pivotField dataField="1" showAll="0"/>
    <pivotField showAll="0"/>
    <pivotField showAll="0">
      <items count="13">
        <item x="9"/>
        <item x="2"/>
        <item x="10"/>
        <item x="0"/>
        <item x="11"/>
        <item x="4"/>
        <item x="6"/>
        <item x="8"/>
        <item x="7"/>
        <item x="1"/>
        <item x="3"/>
        <item x="5"/>
        <item t="default"/>
      </items>
    </pivotField>
    <pivotField showAll="0"/>
    <pivotField showAll="0"/>
  </pivotFields>
  <rowItems count="1">
    <i/>
  </rowItems>
  <colFields count="1">
    <field x="-2"/>
  </colFields>
  <colItems count="4">
    <i>
      <x/>
    </i>
    <i i="1">
      <x v="1"/>
    </i>
    <i i="2">
      <x v="2"/>
    </i>
    <i i="3">
      <x v="3"/>
    </i>
  </colItems>
  <dataFields count="4">
    <dataField name="Count of Product" fld="1" subtotal="count" baseField="0" baseItem="0"/>
    <dataField name="Sum of Quantity" fld="5" baseField="0" baseItem="0"/>
    <dataField name="Sales Amount " fld="7" baseField="0" baseItem="2"/>
    <dataField name="Average Order Value(AOV)" fld="7" subtotal="average" baseField="0" baseItem="3"/>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5995F5-B7ED-4EF2-8AFA-D716B40A217A}" name="product"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rowHeaderCaption="Product">
  <location ref="K3:L13" firstHeaderRow="1" firstDataRow="1" firstDataCol="1"/>
  <pivotFields count="12">
    <pivotField showAll="0"/>
    <pivotField axis="axisRow" showAll="0" sortType="descending">
      <items count="14">
        <item x="7"/>
        <item m="1" x="11"/>
        <item x="3"/>
        <item x="9"/>
        <item x="0"/>
        <item x="5"/>
        <item m="1" x="12"/>
        <item m="1" x="10"/>
        <item x="8"/>
        <item x="1"/>
        <item x="2"/>
        <item x="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13">
        <item x="9"/>
        <item x="2"/>
        <item x="10"/>
        <item x="0"/>
        <item x="11"/>
        <item x="4"/>
        <item x="6"/>
        <item x="8"/>
        <item x="7"/>
        <item x="1"/>
        <item x="3"/>
        <item x="5"/>
        <item t="default"/>
      </items>
    </pivotField>
    <pivotField showAll="0"/>
    <pivotField showAll="0"/>
  </pivotFields>
  <rowFields count="1">
    <field x="1"/>
  </rowFields>
  <rowItems count="10">
    <i>
      <x v="12"/>
    </i>
    <i>
      <x v="11"/>
    </i>
    <i>
      <x v="3"/>
    </i>
    <i>
      <x v="2"/>
    </i>
    <i>
      <x v="5"/>
    </i>
    <i>
      <x v="4"/>
    </i>
    <i>
      <x v="8"/>
    </i>
    <i>
      <x v="9"/>
    </i>
    <i>
      <x/>
    </i>
    <i>
      <x v="10"/>
    </i>
  </rowItems>
  <colItems count="1">
    <i/>
  </colItems>
  <dataFields count="1">
    <dataField name="Others" fld="7" baseField="1" baseItem="1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5E0377-CC36-4490-858E-DE1F21EC68FE}" name="Days trend" cacheId="0" applyNumberFormats="0" applyBorderFormats="0" applyFontFormats="0" applyPatternFormats="0" applyAlignmentFormats="0" applyWidthHeightFormats="1" dataCaption="Values" errorCaption="0" showError="1" missingCaption="0" updatedVersion="8" minRefreshableVersion="3" showDrill="0" useAutoFormatting="1" rowGrandTotals="0" colGrandTotals="0" itemPrintTitles="1" createdVersion="8" indent="0" outline="1" outlineData="1" multipleFieldFilters="0" rowHeaderCaption="Product">
  <location ref="AS3:AT10" firstHeaderRow="1" firstDataRow="1" firstDataCol="1"/>
  <pivotFields count="12">
    <pivotField showAll="0"/>
    <pivotField showAll="0" sortType="descending">
      <autoSortScope>
        <pivotArea dataOnly="0" outline="0" fieldPosition="0">
          <references count="1">
            <reference field="4294967294" count="1" selected="0">
              <x v="0"/>
            </reference>
          </references>
        </pivotArea>
      </autoSortScope>
    </pivotField>
    <pivotField showAll="0"/>
    <pivotField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3">
        <item x="9"/>
        <item x="2"/>
        <item x="10"/>
        <item x="0"/>
        <item x="11"/>
        <item x="4"/>
        <item x="6"/>
        <item x="8"/>
        <item x="7"/>
        <item x="1"/>
        <item x="3"/>
        <item x="5"/>
        <item t="default"/>
      </items>
    </pivotField>
    <pivotField showAll="0"/>
    <pivotField axis="axisRow" showAll="0" sortType="descending">
      <items count="9">
        <item x="4"/>
        <item x="2"/>
        <item x="6"/>
        <item x="1"/>
        <item x="5"/>
        <item x="3"/>
        <item x="0"/>
        <item m="1" x="7"/>
        <item t="default"/>
      </items>
      <autoSortScope>
        <pivotArea dataOnly="0" outline="0" fieldPosition="0">
          <references count="1">
            <reference field="4294967294" count="1" selected="0">
              <x v="0"/>
            </reference>
          </references>
        </pivotArea>
      </autoSortScope>
    </pivotField>
  </pivotFields>
  <rowFields count="1">
    <field x="11"/>
  </rowFields>
  <rowItems count="7">
    <i>
      <x/>
    </i>
    <i>
      <x v="5"/>
    </i>
    <i>
      <x v="1"/>
    </i>
    <i>
      <x v="2"/>
    </i>
    <i>
      <x v="3"/>
    </i>
    <i>
      <x v="6"/>
    </i>
    <i>
      <x v="4"/>
    </i>
  </rowItems>
  <colItems count="1">
    <i/>
  </colItems>
  <dataFields count="1">
    <dataField name="Others" fld="7"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2EDBB1-B128-4C55-A728-A8ACD431B2F5}" name="region" cacheId="0" applyNumberFormats="0" applyBorderFormats="0" applyFontFormats="0" applyPatternFormats="0" applyAlignmentFormats="0" applyWidthHeightFormats="1" dataCaption="Values" errorCaption="0" showError="1" missingCaption="0" updatedVersion="8" minRefreshableVersion="3" showDrill="0" useAutoFormatting="1" rowGrandTotals="0" colGrandTotals="0" itemPrintTitles="1" createdVersion="8" indent="0" outline="1" outlineData="1" multipleFieldFilters="0" rowHeaderCaption="Product">
  <location ref="Y3:Z7" firstHeaderRow="1" firstDataRow="1" firstDataCol="1"/>
  <pivotFields count="12">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13">
        <item x="9"/>
        <item x="2"/>
        <item x="10"/>
        <item x="0"/>
        <item x="11"/>
        <item x="4"/>
        <item x="6"/>
        <item x="8"/>
        <item x="7"/>
        <item x="1"/>
        <item x="3"/>
        <item x="5"/>
        <item t="default"/>
      </items>
    </pivotField>
    <pivotField showAll="0"/>
    <pivotField showAll="0"/>
  </pivotFields>
  <rowFields count="1">
    <field x="3"/>
  </rowFields>
  <rowItems count="4">
    <i>
      <x v="1"/>
    </i>
    <i>
      <x v="3"/>
    </i>
    <i>
      <x/>
    </i>
    <i>
      <x v="2"/>
    </i>
  </rowItems>
  <colItems count="1">
    <i/>
  </colItems>
  <dataFields count="1">
    <dataField name="Others Sales" fld="7"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5DA37F-F17A-4B41-A3A6-9F295C0BF953}" name="sales rep" cacheId="0" applyNumberFormats="0" applyBorderFormats="0" applyFontFormats="0" applyPatternFormats="0" applyAlignmentFormats="0" applyWidthHeightFormats="1" dataCaption="Values" errorCaption="0" showError="1" missingCaption="0" updatedVersion="8" minRefreshableVersion="3" showDrill="0" useAutoFormatting="1" rowGrandTotals="0" colGrandTotals="0" itemPrintTitles="1" createdVersion="8" indent="0" outline="1" outlineData="1" multipleFieldFilters="0" rowHeaderCaption="Product">
  <location ref="AI3:AJ9" firstHeaderRow="1" firstDataRow="1" firstDataCol="1"/>
  <pivotFields count="12">
    <pivotField showAll="0"/>
    <pivotField showAll="0" sortType="descending">
      <autoSortScope>
        <pivotArea dataOnly="0" outline="0" fieldPosition="0">
          <references count="1">
            <reference field="4294967294" count="1" selected="0">
              <x v="0"/>
            </reference>
          </references>
        </pivotArea>
      </autoSortScope>
    </pivotField>
    <pivotField showAll="0"/>
    <pivotField sortType="descending">
      <autoSortScope>
        <pivotArea dataOnly="0" outline="0" fieldPosition="0">
          <references count="1">
            <reference field="4294967294" count="1" selected="0">
              <x v="0"/>
            </reference>
          </references>
        </pivotArea>
      </autoSortScope>
    </pivotField>
    <pivotField axis="axisRow" showAll="0" sortType="descending">
      <items count="7">
        <item x="0"/>
        <item x="2"/>
        <item x="5"/>
        <item x="4"/>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3">
        <item x="9"/>
        <item x="2"/>
        <item x="10"/>
        <item x="0"/>
        <item x="11"/>
        <item x="4"/>
        <item x="6"/>
        <item x="8"/>
        <item x="7"/>
        <item x="1"/>
        <item x="3"/>
        <item x="5"/>
        <item t="default"/>
      </items>
    </pivotField>
    <pivotField showAll="0"/>
    <pivotField showAll="0"/>
  </pivotFields>
  <rowFields count="1">
    <field x="4"/>
  </rowFields>
  <rowItems count="6">
    <i>
      <x/>
    </i>
    <i>
      <x v="2"/>
    </i>
    <i>
      <x v="4"/>
    </i>
    <i>
      <x v="1"/>
    </i>
    <i>
      <x v="5"/>
    </i>
    <i>
      <x v="3"/>
    </i>
  </rowItems>
  <colItems count="1">
    <i/>
  </colItems>
  <dataFields count="1">
    <dataField name="Others Sales" fld="7"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DEE6A6-B6F8-4E70-A840-81571D6F8DA0}" name="Month trend" cacheId="0" applyNumberFormats="0" applyBorderFormats="0" applyFontFormats="0" applyPatternFormats="0" applyAlignmentFormats="0" applyWidthHeightFormats="1" dataCaption="Values" errorCaption="0" showError="1" missingCaption="0" updatedVersion="8" minRefreshableVersion="3" showDrill="0" useAutoFormatting="1" rowGrandTotals="0" colGrandTotals="0" itemPrintTitles="1" createdVersion="8" indent="0" outline="1" outlineData="1" multipleFieldFilters="0" rowHeaderCaption="Product">
  <location ref="BC3:BD15" firstHeaderRow="1" firstDataRow="1" firstDataCol="1"/>
  <pivotFields count="12">
    <pivotField showAll="0"/>
    <pivotField showAll="0"/>
    <pivotField showAll="0"/>
    <pivotField/>
    <pivotField showAll="0"/>
    <pivotField showAll="0"/>
    <pivotField showAll="0"/>
    <pivotField dataField="1" showAll="0"/>
    <pivotField showAll="0">
      <items count="13">
        <item x="9"/>
        <item x="2"/>
        <item x="10"/>
        <item x="0"/>
        <item x="11"/>
        <item x="4"/>
        <item x="6"/>
        <item x="8"/>
        <item x="7"/>
        <item x="1"/>
        <item x="3"/>
        <item x="5"/>
        <item t="default"/>
      </items>
    </pivotField>
    <pivotField name="Month " axis="axisRow" sortType="ascending">
      <items count="13">
        <item x="9"/>
        <item x="2"/>
        <item x="10"/>
        <item x="0"/>
        <item x="11"/>
        <item x="4"/>
        <item x="6"/>
        <item x="8"/>
        <item x="7"/>
        <item x="1"/>
        <item x="3"/>
        <item x="5"/>
        <item t="default"/>
      </items>
    </pivotField>
    <pivotField showAll="0"/>
    <pivotField showAll="0">
      <items count="9">
        <item x="4"/>
        <item x="2"/>
        <item x="6"/>
        <item x="1"/>
        <item x="5"/>
        <item x="3"/>
        <item x="0"/>
        <item m="1" x="7"/>
        <item t="default"/>
      </items>
    </pivotField>
  </pivotFields>
  <rowFields count="1">
    <field x="9"/>
  </rowFields>
  <rowItems count="12">
    <i>
      <x/>
    </i>
    <i>
      <x v="1"/>
    </i>
    <i>
      <x v="2"/>
    </i>
    <i>
      <x v="3"/>
    </i>
    <i>
      <x v="4"/>
    </i>
    <i>
      <x v="5"/>
    </i>
    <i>
      <x v="6"/>
    </i>
    <i>
      <x v="7"/>
    </i>
    <i>
      <x v="8"/>
    </i>
    <i>
      <x v="9"/>
    </i>
    <i>
      <x v="10"/>
    </i>
    <i>
      <x v="11"/>
    </i>
  </rowItems>
  <colItems count="1">
    <i/>
  </colItems>
  <dataFields count="1">
    <dataField name=" Sales Amount" fld="7" baseField="9"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AC46142-F9FC-4A7B-A908-87BDC4717183}" sourceName="Month name">
  <pivotTables>
    <pivotTable tabId="5" name="Days trend"/>
    <pivotTable tabId="5" name="product"/>
    <pivotTable tabId="5" name="region"/>
    <pivotTable tabId="5" name="sales rep"/>
    <pivotTable tabId="5" name="total qty"/>
  </pivotTables>
  <data>
    <tabular pivotCacheId="2118657960">
      <items count="12">
        <i x="9" s="1"/>
        <i x="2" s="1"/>
        <i x="10" s="1"/>
        <i x="0" s="1"/>
        <i x="11" s="1"/>
        <i x="4" s="1"/>
        <i x="6" s="1"/>
        <i x="8" s="1"/>
        <i x="7"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A3DBB068-9BA4-4E10-9231-9E7BB3516D1A}" cache="Slicer_Month_name" caption="Month " columnCount="12" showCaption="0" style="Slicer Style 5"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EE8D04-913F-4EE5-BE2C-114CBC5BB76D}" name="Sales_Report" displayName="Sales_Report" ref="A1:L1001" totalsRowShown="0">
  <autoFilter ref="A1:L1001" xr:uid="{C8EE8D04-913F-4EE5-BE2C-114CBC5BB76D}"/>
  <tableColumns count="12">
    <tableColumn id="1" xr3:uid="{33DD1AE7-02AA-4916-AD92-311F6E503A72}" name="Date" dataDxfId="8"/>
    <tableColumn id="2" xr3:uid="{435A4DE2-4552-44EB-9091-1CC705219449}" name="Product"/>
    <tableColumn id="3" xr3:uid="{4D523A4C-A460-4662-9CA6-05D09FE18B9B}" name="Category"/>
    <tableColumn id="4" xr3:uid="{95CC3756-2586-4ED5-8034-8326522F8F4A}" name="Region"/>
    <tableColumn id="5" xr3:uid="{B50D32A4-4BFD-4A46-9760-A84682948F32}" name="Sales Rep"/>
    <tableColumn id="6" xr3:uid="{40AC846C-4534-4CBC-8E7C-1B62E2DF3159}" name="Quantity"/>
    <tableColumn id="7" xr3:uid="{8A1E9FD0-22FC-464B-AB42-0CF2AB8AFC4A}" name="Unit Price"/>
    <tableColumn id="8" xr3:uid="{412EC916-50D1-4B64-89D6-587C12171540}" name="Sales Amount"/>
    <tableColumn id="9" xr3:uid="{D5F80A2B-58C0-464D-8704-243A6824B3C8}" name="Month" dataDxfId="7">
      <calculatedColumnFormula>MONTH(A2)</calculatedColumnFormula>
    </tableColumn>
    <tableColumn id="10" xr3:uid="{FBD05CEA-EA8C-40FA-8964-E1958CCEC5EF}" name="Month name" dataDxfId="6">
      <calculatedColumnFormula>TEXT(A2,"MMM")</calculatedColumnFormula>
    </tableColumn>
    <tableColumn id="11" xr3:uid="{4B5AD534-2779-4855-9130-01F479049753}" name="Weekday" dataDxfId="5">
      <calculatedColumnFormula>WEEKDAY(A2,1)</calculatedColumnFormula>
    </tableColumn>
    <tableColumn id="12" xr3:uid="{983E5612-2DC0-43FE-A16C-8C078EBF2ABD}" name="WeekName" dataDxfId="4">
      <calculatedColumnFormula>TEXT(K2,"DDD")</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3403-4445-40DD-92BD-BB224A756C2E}">
  <dimension ref="A1:BJ30"/>
  <sheetViews>
    <sheetView tabSelected="1" workbookViewId="0">
      <selection activeCell="T19" sqref="T19"/>
    </sheetView>
  </sheetViews>
  <sheetFormatPr defaultRowHeight="15" x14ac:dyDescent="0.25"/>
  <cols>
    <col min="1" max="1" width="16" bestFit="1" customWidth="1"/>
    <col min="2" max="2" width="15.42578125" bestFit="1" customWidth="1"/>
    <col min="3" max="3" width="13.7109375" bestFit="1" customWidth="1"/>
    <col min="4" max="4" width="25.28515625" bestFit="1" customWidth="1"/>
    <col min="5" max="5" width="25.28515625" customWidth="1"/>
    <col min="7" max="7" width="15" bestFit="1" customWidth="1"/>
    <col min="11" max="11" width="15" bestFit="1" customWidth="1"/>
    <col min="12" max="12" width="12" bestFit="1" customWidth="1"/>
    <col min="13" max="13" width="14" bestFit="1" customWidth="1"/>
    <col min="14" max="14" width="14" customWidth="1"/>
    <col min="16" max="16" width="15" bestFit="1" customWidth="1"/>
    <col min="17" max="17" width="20" bestFit="1" customWidth="1"/>
    <col min="20" max="20" width="15.42578125" bestFit="1" customWidth="1"/>
    <col min="21" max="21" width="14" bestFit="1" customWidth="1"/>
    <col min="22" max="22" width="20.42578125" bestFit="1" customWidth="1"/>
    <col min="25" max="25" width="12.7109375" bestFit="1" customWidth="1"/>
    <col min="26" max="26" width="12" bestFit="1" customWidth="1"/>
    <col min="28" max="28" width="10.42578125" bestFit="1" customWidth="1"/>
    <col min="29" max="29" width="12.7109375" bestFit="1" customWidth="1"/>
    <col min="30" max="30" width="12" bestFit="1" customWidth="1"/>
    <col min="31" max="31" width="16.85546875" bestFit="1" customWidth="1"/>
    <col min="32" max="32" width="10.85546875" bestFit="1" customWidth="1"/>
    <col min="35" max="35" width="10.140625" bestFit="1" customWidth="1"/>
    <col min="36" max="36" width="12" bestFit="1" customWidth="1"/>
    <col min="39" max="39" width="17.85546875" bestFit="1" customWidth="1"/>
    <col min="40" max="40" width="12" bestFit="1" customWidth="1"/>
    <col min="41" max="41" width="17.7109375" bestFit="1" customWidth="1"/>
    <col min="42" max="42" width="14" bestFit="1" customWidth="1"/>
    <col min="45" max="45" width="10.140625" bestFit="1" customWidth="1"/>
    <col min="46" max="46" width="11" bestFit="1" customWidth="1"/>
    <col min="48" max="48" width="15.5703125" bestFit="1" customWidth="1"/>
    <col min="50" max="50" width="12" bestFit="1" customWidth="1"/>
    <col min="51" max="51" width="10.140625" bestFit="1" customWidth="1"/>
    <col min="55" max="55" width="10.140625" bestFit="1" customWidth="1"/>
    <col min="56" max="56" width="13.7109375" bestFit="1" customWidth="1"/>
    <col min="60" max="60" width="20" bestFit="1" customWidth="1"/>
    <col min="61" max="61" width="21.85546875" bestFit="1" customWidth="1"/>
    <col min="62" max="62" width="24.85546875" bestFit="1" customWidth="1"/>
  </cols>
  <sheetData>
    <row r="1" spans="1:62" x14ac:dyDescent="0.25">
      <c r="W1" s="11"/>
      <c r="AG1" s="11"/>
    </row>
    <row r="2" spans="1:62" x14ac:dyDescent="0.25">
      <c r="E2" s="11"/>
      <c r="W2" s="11"/>
      <c r="AG2" s="11"/>
      <c r="AQ2" s="11"/>
      <c r="BA2" s="11"/>
    </row>
    <row r="3" spans="1:62" x14ac:dyDescent="0.25">
      <c r="A3" t="s">
        <v>28</v>
      </c>
      <c r="B3" t="s">
        <v>29</v>
      </c>
      <c r="C3" t="s">
        <v>30</v>
      </c>
      <c r="D3" t="s">
        <v>31</v>
      </c>
      <c r="E3" s="11"/>
      <c r="G3" s="5" t="s">
        <v>32</v>
      </c>
      <c r="K3" s="5" t="s">
        <v>1</v>
      </c>
      <c r="L3" t="s">
        <v>42</v>
      </c>
      <c r="M3" t="s">
        <v>44</v>
      </c>
      <c r="P3" t="str">
        <f>K3</f>
        <v>Product</v>
      </c>
      <c r="Q3" t="str">
        <f>L3</f>
        <v>Others</v>
      </c>
      <c r="R3" t="s">
        <v>43</v>
      </c>
      <c r="T3" t="s">
        <v>34</v>
      </c>
      <c r="U3" t="s">
        <v>35</v>
      </c>
      <c r="V3" t="s">
        <v>36</v>
      </c>
      <c r="W3" s="11"/>
      <c r="Y3" s="5" t="s">
        <v>1</v>
      </c>
      <c r="Z3" t="s">
        <v>46</v>
      </c>
      <c r="AA3" t="s">
        <v>44</v>
      </c>
      <c r="AC3" t="str">
        <f>Y3</f>
        <v>Product</v>
      </c>
      <c r="AD3" t="str">
        <f>Z3</f>
        <v>Others Sales</v>
      </c>
      <c r="AE3" t="s">
        <v>45</v>
      </c>
      <c r="AF3" t="s">
        <v>95</v>
      </c>
      <c r="AG3" s="11"/>
      <c r="AI3" s="5" t="s">
        <v>1</v>
      </c>
      <c r="AJ3" t="s">
        <v>46</v>
      </c>
      <c r="AK3" t="s">
        <v>44</v>
      </c>
      <c r="AM3" t="str">
        <f>AI3</f>
        <v>Product</v>
      </c>
      <c r="AN3" t="str">
        <f>AJ3</f>
        <v>Others Sales</v>
      </c>
      <c r="AO3" t="s">
        <v>55</v>
      </c>
      <c r="AP3" t="s">
        <v>56</v>
      </c>
      <c r="AQ3" s="11"/>
      <c r="AS3" s="5" t="s">
        <v>1</v>
      </c>
      <c r="AT3" t="s">
        <v>42</v>
      </c>
      <c r="AU3" t="s">
        <v>44</v>
      </c>
      <c r="AW3" t="str">
        <f>AS3</f>
        <v>Product</v>
      </c>
      <c r="AX3" t="str">
        <f>AT3</f>
        <v>Others</v>
      </c>
      <c r="AY3" t="s">
        <v>72</v>
      </c>
      <c r="BA3" s="11"/>
      <c r="BC3" s="5" t="s">
        <v>1</v>
      </c>
      <c r="BD3" t="s">
        <v>93</v>
      </c>
      <c r="BE3" t="s">
        <v>44</v>
      </c>
      <c r="BG3" t="str">
        <f>BC3</f>
        <v>Product</v>
      </c>
      <c r="BH3" t="str">
        <f>BD3</f>
        <v xml:space="preserve"> Sales Amount</v>
      </c>
      <c r="BI3" t="s">
        <v>86</v>
      </c>
      <c r="BJ3" t="s">
        <v>87</v>
      </c>
    </row>
    <row r="4" spans="1:62" x14ac:dyDescent="0.25">
      <c r="A4" s="2">
        <v>1000</v>
      </c>
      <c r="B4" s="2">
        <v>9970</v>
      </c>
      <c r="C4" s="2">
        <v>32423279.979999971</v>
      </c>
      <c r="D4" s="2">
        <v>32423.27997999997</v>
      </c>
      <c r="E4" s="12"/>
      <c r="G4" s="6" t="s">
        <v>23</v>
      </c>
      <c r="K4" s="6" t="s">
        <v>39</v>
      </c>
      <c r="L4" s="13">
        <v>15608512.069999995</v>
      </c>
      <c r="M4" t="str">
        <f>IF(L4&lt;1000,"₦"&amp;TEXT(L4,"#,##0"),
IF(L4&lt;1000000,"₦"&amp;TEXT(L4/1000,"0")&amp;"K",
"₦"&amp;TEXT(L4/1000000,"0")&amp;"M"))</f>
        <v>₦16M</v>
      </c>
      <c r="P4" t="str">
        <f t="shared" ref="P4:P13" si="0">K4</f>
        <v>Rice (10kg)</v>
      </c>
      <c r="Q4">
        <f t="shared" ref="Q4:Q13" si="1">L4</f>
        <v>15608512.069999995</v>
      </c>
      <c r="R4">
        <f>IF($U$4=Q4,Q4,IF($U$5=Q4,Q4," "))</f>
        <v>15608512.069999995</v>
      </c>
      <c r="T4">
        <v>1</v>
      </c>
      <c r="U4">
        <f>LARGE($L$4:$L$13,T4)</f>
        <v>15608512.069999995</v>
      </c>
      <c r="V4" t="str">
        <f>INDEX($K$4:$K$13,MATCH(U4,$L$4:$L$13,0))</f>
        <v>Rice (10kg)</v>
      </c>
      <c r="W4" s="11"/>
      <c r="Y4" s="6" t="s">
        <v>19</v>
      </c>
      <c r="Z4" s="13">
        <v>9639115.8800000027</v>
      </c>
      <c r="AA4" t="str">
        <f>IF(Z4&lt;1000,"₦"&amp;TEXT(Z4,"#,##0"),
IF(Z4&lt;1000000,"₦"&amp;TEXT(Z4/1000,"0")&amp;"K",
"₦"&amp;TEXT(Z4/1000000,"0")&amp;"M"))</f>
        <v>₦10M</v>
      </c>
      <c r="AC4" t="str">
        <f t="shared" ref="AC4:AC7" si="2">Y4</f>
        <v>Kano</v>
      </c>
      <c r="AD4">
        <f t="shared" ref="AD4:AD7" si="3">Z4</f>
        <v>9639115.8800000027</v>
      </c>
      <c r="AE4" t="str">
        <f>IF(MIN($Z$4:$Z$7)=AD4,AD4," ")</f>
        <v xml:space="preserve"> </v>
      </c>
      <c r="AF4">
        <f>IF(MAX($Z$4:$Z$7)=AD4,AD4," ")</f>
        <v>9639115.8800000027</v>
      </c>
      <c r="AG4" s="11"/>
      <c r="AI4" s="6" t="s">
        <v>26</v>
      </c>
      <c r="AJ4" s="13">
        <v>7791700.0100000035</v>
      </c>
      <c r="AK4" t="str">
        <f>IF(AJ4&lt;1000,"₦"&amp;TEXT(AJ4,"#,##0"),
IF(AJ4&lt;1000000,"₦"&amp;TEXT(AJ4/1000,"0")&amp;"K",
"₦"&amp;TEXT(AJ4/1000000,"0")&amp;"M"))</f>
        <v>₦8M</v>
      </c>
      <c r="AM4" t="str">
        <f t="shared" ref="AM4:AM9" si="4">AI4</f>
        <v>Aishat</v>
      </c>
      <c r="AN4">
        <f t="shared" ref="AN4:AN9" si="5">AJ4</f>
        <v>7791700.0100000035</v>
      </c>
      <c r="AO4">
        <f>IF(AN4=MAX($AJ$4:$AJ$9),AN4," ")</f>
        <v>7791700.0100000035</v>
      </c>
      <c r="AP4" t="str">
        <f>IF(AN4=MIN($AJ$4:$AJ$9),AN4," ")</f>
        <v xml:space="preserve"> </v>
      </c>
      <c r="AQ4" s="11"/>
      <c r="AS4" s="6" t="s">
        <v>63</v>
      </c>
      <c r="AT4" s="13">
        <v>5450836.1200000029</v>
      </c>
      <c r="AU4" t="str">
        <f>IF(AT4&lt;1000,"₦"&amp;TEXT(AT4,"#,##0"),
IF(AT4&lt;1000000,"₦"&amp;TEXT(AT4/1000,"0")&amp;"K",
"₦"&amp;TEXT(AT4/1000000,"0")&amp;"M"))</f>
        <v>₦5M</v>
      </c>
      <c r="AW4" t="str">
        <f t="shared" ref="AW4:AW10" si="6">AS4</f>
        <v>Sun</v>
      </c>
      <c r="AX4">
        <f t="shared" ref="AX4:AX10" si="7">AT4</f>
        <v>5450836.1200000029</v>
      </c>
      <c r="AY4">
        <f>IF($AW$13=AX4,AX4,IF($AW$14=AX4,AX4," "))</f>
        <v>5450836.1200000029</v>
      </c>
      <c r="BA4" s="11"/>
      <c r="BC4" s="6" t="s">
        <v>74</v>
      </c>
      <c r="BD4">
        <v>1855882.5999999996</v>
      </c>
      <c r="BE4" t="str">
        <f>IF(BD4&lt;1000,"₦"&amp;TEXT(BD4,"#,##0"),
IF(BD4&lt;1000000,"₦"&amp;TEXT(BD4/1000,"0")&amp;"K",
"₦"&amp;TEXT(BD4/1000000,"0")&amp;"M"))</f>
        <v>₦2M</v>
      </c>
      <c r="BG4" t="str">
        <f t="shared" ref="BG4:BG15" si="8">BC4</f>
        <v>Jan</v>
      </c>
      <c r="BH4">
        <f t="shared" ref="BH4:BH15" si="9">BD4</f>
        <v>1855882.5999999996</v>
      </c>
      <c r="BI4" t="e">
        <f>IF(MAX($BD$4:$BD$15)=BH4,BH4,NA())</f>
        <v>#N/A</v>
      </c>
      <c r="BJ4">
        <f>IF(MIN($BD$4:$BD$15)=BH4,BH4,NA())</f>
        <v>1855882.5999999996</v>
      </c>
    </row>
    <row r="5" spans="1:62" x14ac:dyDescent="0.25">
      <c r="A5" t="str">
        <f>IF(A4&lt;1000,"₦"&amp;TEXT(A4,"#,##0"),
IF(A4&lt;1000000,"₦"&amp;TEXT(A4/1000,"0")&amp;"K",
"₦"&amp;TEXT(A4/1000000,"0")&amp;"M"))</f>
        <v>₦1K</v>
      </c>
      <c r="B5" t="str">
        <f t="shared" ref="B5:C5" si="10">IF(B4&lt;1000,"₦"&amp;TEXT(B4,"#,##0"),
IF(B4&lt;1000000,"₦"&amp;TEXT(B4/1000,"0")&amp;"K",
"₦"&amp;TEXT(B4/1000000,"0")&amp;"M"))</f>
        <v>₦10K</v>
      </c>
      <c r="C5" t="str">
        <f t="shared" si="10"/>
        <v>₦32M</v>
      </c>
      <c r="D5" t="str">
        <f>IF(D4&lt;1000,"₦"&amp;TEXT(D4,"#,##0"),
IF(D4&lt;1000000,"₦"&amp;TEXT(D4/1000,"0")&amp;"K",
"₦"&amp;TEXT(D4/1000000,"0")&amp;"M"))</f>
        <v>₦32K</v>
      </c>
      <c r="E5" s="11"/>
      <c r="G5" s="6" t="s">
        <v>16</v>
      </c>
      <c r="H5" t="s">
        <v>33</v>
      </c>
      <c r="J5" s="3"/>
      <c r="K5" s="6" t="s">
        <v>40</v>
      </c>
      <c r="L5" s="13">
        <v>4882611.54</v>
      </c>
      <c r="M5" t="str">
        <f>IF(L5&lt;1000,"₦"&amp;TEXT(L5,"#,##0"),
IF(L5&lt;1000000,"₦"&amp;TEXT(L5/1000,"0")&amp;"K",
"₦"&amp;TEXT(L5/1000000,"0")&amp;"M"))</f>
        <v>₦5M</v>
      </c>
      <c r="P5" t="str">
        <f t="shared" si="0"/>
        <v>Turkey</v>
      </c>
      <c r="Q5">
        <f t="shared" si="1"/>
        <v>4882611.54</v>
      </c>
      <c r="R5">
        <f t="shared" ref="R5:R14" si="11">IF($U$4=Q5,Q5,IF($U$5=Q5,Q5," "))</f>
        <v>4882611.54</v>
      </c>
      <c r="T5">
        <v>2</v>
      </c>
      <c r="U5">
        <f>LARGE($L$4:$L$13,T5)</f>
        <v>4882611.54</v>
      </c>
      <c r="V5" t="str">
        <f>INDEX($K$4:$K$13,MATCH(U5,$L$4:$L$13,0))</f>
        <v>Turkey</v>
      </c>
      <c r="W5" s="11"/>
      <c r="Y5" s="6" t="s">
        <v>10</v>
      </c>
      <c r="Z5" s="13">
        <v>7777902.0900000026</v>
      </c>
      <c r="AA5" t="str">
        <f>IF(Z5&lt;1000,"₦"&amp;TEXT(Z5,"#,##0"),
IF(Z5&lt;1000000,"₦"&amp;TEXT(Z5/1000,"0")&amp;"K",
"₦"&amp;TEXT(Z5/1000000,"0")&amp;"M"))</f>
        <v>₦8M</v>
      </c>
      <c r="AC5" t="str">
        <f t="shared" si="2"/>
        <v>Port Harcourt</v>
      </c>
      <c r="AD5">
        <f t="shared" si="3"/>
        <v>7777902.0900000026</v>
      </c>
      <c r="AE5" t="str">
        <f t="shared" ref="AE5:AE7" si="12">IF(MIN($Z$4:$Z$7)=AD5,AD5," ")</f>
        <v xml:space="preserve"> </v>
      </c>
      <c r="AF5" t="str">
        <f t="shared" ref="AF5:AF7" si="13">IF(MAX($Z$4:$Z$7)=AD5,AD5," ")</f>
        <v xml:space="preserve"> </v>
      </c>
      <c r="AG5" s="11"/>
      <c r="AI5" s="6" t="s">
        <v>11</v>
      </c>
      <c r="AJ5" s="13">
        <v>6871130.6299999962</v>
      </c>
      <c r="AK5" t="str">
        <f t="shared" ref="AK5:AK9" si="14">IF(AJ5&lt;1000,"₦"&amp;TEXT(AJ5,"#,##0"),
IF(AJ5&lt;1000000,"₦"&amp;TEXT(AJ5/1000,"0")&amp;"K",
"₦"&amp;TEXT(AJ5/1000000,"0")&amp;"M"))</f>
        <v>₦7M</v>
      </c>
      <c r="AM5" t="str">
        <f t="shared" si="4"/>
        <v>David</v>
      </c>
      <c r="AN5">
        <f t="shared" si="5"/>
        <v>6871130.6299999962</v>
      </c>
      <c r="AO5" t="str">
        <f t="shared" ref="AO5:AO9" si="15">IF(AN5=MAX($AJ$4:$AJ$9),"Top perfprmer"," ")</f>
        <v xml:space="preserve"> </v>
      </c>
      <c r="AP5" t="str">
        <f t="shared" ref="AP5:AP8" si="16">IF(AN5=MIN($AJ$4:$AJ$9),AN5," ")</f>
        <v xml:space="preserve"> </v>
      </c>
      <c r="AQ5" s="11"/>
      <c r="AS5" s="6" t="s">
        <v>68</v>
      </c>
      <c r="AT5" s="13">
        <v>4914556.41</v>
      </c>
      <c r="AU5" t="str">
        <f t="shared" ref="AU5:AU10" si="17">IF(AT5&lt;1000,"₦"&amp;TEXT(AT5,"#,##0"),
IF(AT5&lt;1000000,"₦"&amp;TEXT(AT5/1000,"0")&amp;"K",
"₦"&amp;TEXT(AT5/1000000,"0")&amp;"M"))</f>
        <v>₦5M</v>
      </c>
      <c r="AW5" t="str">
        <f t="shared" si="6"/>
        <v>Fri</v>
      </c>
      <c r="AX5">
        <f t="shared" si="7"/>
        <v>4914556.41</v>
      </c>
      <c r="AY5">
        <f t="shared" ref="AY5:AY10" si="18">IF($AW$13=AX5,AX5,IF($AW$14=AX5,AX5," "))</f>
        <v>4914556.41</v>
      </c>
      <c r="BA5" s="11"/>
      <c r="BC5" s="6" t="s">
        <v>75</v>
      </c>
      <c r="BD5">
        <v>2252704.8199999998</v>
      </c>
      <c r="BE5" t="str">
        <f t="shared" ref="BE5:BE15" si="19">IF(BD5&lt;1000,"₦"&amp;TEXT(BD5,"#,##0"),
IF(BD5&lt;1000000,"₦"&amp;TEXT(BD5/1000,"0")&amp;"K",
"₦"&amp;TEXT(BD5/1000000,"0")&amp;"M"))</f>
        <v>₦2M</v>
      </c>
      <c r="BG5" t="str">
        <f t="shared" si="8"/>
        <v>Feb</v>
      </c>
      <c r="BH5">
        <f t="shared" si="9"/>
        <v>2252704.8199999998</v>
      </c>
      <c r="BI5" t="e">
        <f t="shared" ref="BI5:BI15" si="20">IF(MAX($BD$4:$BD$15)=BH5,BH5,NA())</f>
        <v>#N/A</v>
      </c>
      <c r="BJ5" t="e">
        <f t="shared" ref="BJ5:BJ15" si="21">IF(MIN($BD$4:$BD$15)=BH5,BH5,NA())</f>
        <v>#N/A</v>
      </c>
    </row>
    <row r="6" spans="1:62" x14ac:dyDescent="0.25">
      <c r="E6" s="11"/>
      <c r="G6" s="6" t="s">
        <v>25</v>
      </c>
      <c r="H6">
        <f>COUNTA(G:G)-1</f>
        <v>10</v>
      </c>
      <c r="K6" s="6" t="s">
        <v>25</v>
      </c>
      <c r="L6" s="13">
        <v>2998781.1099999989</v>
      </c>
      <c r="M6" t="str">
        <f t="shared" ref="M6:M13" si="22">IF(L6&lt;1000,"₦"&amp;TEXT(L6,"#,##0"),
IF(L6&lt;1000000,"₦"&amp;TEXT(L6/1000,"0")&amp;"K",
"₦"&amp;TEXT(L6/1000000,"0")&amp;"M"))</f>
        <v>₦3M</v>
      </c>
      <c r="P6" t="str">
        <f t="shared" si="0"/>
        <v>Eggs (crate)</v>
      </c>
      <c r="Q6">
        <f t="shared" si="1"/>
        <v>2998781.1099999989</v>
      </c>
      <c r="R6" t="str">
        <f t="shared" si="11"/>
        <v xml:space="preserve"> </v>
      </c>
      <c r="V6">
        <f>Total_products</f>
        <v>10</v>
      </c>
      <c r="W6" s="11"/>
      <c r="Y6" s="6" t="s">
        <v>14</v>
      </c>
      <c r="Z6" s="13">
        <v>7773322.4100000029</v>
      </c>
      <c r="AA6" t="str">
        <f t="shared" ref="AA6:AA7" si="23">IF(Z6&lt;1000,"₦"&amp;TEXT(Z6,"#,##0"),
IF(Z6&lt;1000000,"₦"&amp;TEXT(Z6/1000,"0")&amp;"K",
"₦"&amp;TEXT(Z6/1000000,"0")&amp;"M"))</f>
        <v>₦8M</v>
      </c>
      <c r="AC6" t="str">
        <f t="shared" si="2"/>
        <v>Abuja</v>
      </c>
      <c r="AD6">
        <f t="shared" si="3"/>
        <v>7773322.4100000029</v>
      </c>
      <c r="AE6" t="str">
        <f t="shared" si="12"/>
        <v xml:space="preserve"> </v>
      </c>
      <c r="AF6" t="str">
        <f t="shared" si="13"/>
        <v xml:space="preserve"> </v>
      </c>
      <c r="AG6" s="11"/>
      <c r="AI6" s="6" t="s">
        <v>15</v>
      </c>
      <c r="AJ6" s="13">
        <v>6575293.9900000012</v>
      </c>
      <c r="AK6" t="str">
        <f t="shared" si="14"/>
        <v>₦7M</v>
      </c>
      <c r="AM6" t="str">
        <f t="shared" si="4"/>
        <v>Ibrahim</v>
      </c>
      <c r="AN6">
        <f t="shared" si="5"/>
        <v>6575293.9900000012</v>
      </c>
      <c r="AO6" t="str">
        <f t="shared" si="15"/>
        <v xml:space="preserve"> </v>
      </c>
      <c r="AP6" t="str">
        <f t="shared" si="16"/>
        <v xml:space="preserve"> </v>
      </c>
      <c r="AQ6" s="11"/>
      <c r="AS6" s="6" t="s">
        <v>64</v>
      </c>
      <c r="AT6" s="13">
        <v>4667127.1000000006</v>
      </c>
      <c r="AU6" t="str">
        <f t="shared" si="17"/>
        <v>₦5M</v>
      </c>
      <c r="AW6" t="str">
        <f t="shared" si="6"/>
        <v>Mon</v>
      </c>
      <c r="AX6">
        <f t="shared" si="7"/>
        <v>4667127.1000000006</v>
      </c>
      <c r="AY6" t="str">
        <f t="shared" si="18"/>
        <v xml:space="preserve"> </v>
      </c>
      <c r="BA6" s="11"/>
      <c r="BC6" s="6" t="s">
        <v>76</v>
      </c>
      <c r="BD6">
        <v>2749743.6399999997</v>
      </c>
      <c r="BE6" t="str">
        <f t="shared" si="19"/>
        <v>₦3M</v>
      </c>
      <c r="BG6" t="str">
        <f t="shared" si="8"/>
        <v>Mar</v>
      </c>
      <c r="BH6">
        <f t="shared" si="9"/>
        <v>2749743.6399999997</v>
      </c>
      <c r="BI6" t="e">
        <f t="shared" si="20"/>
        <v>#N/A</v>
      </c>
      <c r="BJ6" t="e">
        <f t="shared" si="21"/>
        <v>#N/A</v>
      </c>
    </row>
    <row r="7" spans="1:62" x14ac:dyDescent="0.25">
      <c r="E7" s="11"/>
      <c r="G7" s="6" t="s">
        <v>8</v>
      </c>
      <c r="K7" s="6" t="s">
        <v>16</v>
      </c>
      <c r="L7" s="13">
        <v>2922801.8200000008</v>
      </c>
      <c r="M7" t="str">
        <f t="shared" si="22"/>
        <v>₦3M</v>
      </c>
      <c r="P7" t="str">
        <f t="shared" si="0"/>
        <v>Cooking Oil (1L)</v>
      </c>
      <c r="Q7">
        <f t="shared" si="1"/>
        <v>2922801.8200000008</v>
      </c>
      <c r="R7" t="str">
        <f t="shared" si="11"/>
        <v xml:space="preserve"> </v>
      </c>
      <c r="W7" s="11"/>
      <c r="Y7" s="6" t="s">
        <v>17</v>
      </c>
      <c r="Z7" s="13">
        <v>7232939.6000000015</v>
      </c>
      <c r="AA7" t="str">
        <f t="shared" si="23"/>
        <v>₦7M</v>
      </c>
      <c r="AC7" t="str">
        <f t="shared" si="2"/>
        <v>Lagos</v>
      </c>
      <c r="AD7">
        <f t="shared" si="3"/>
        <v>7232939.6000000015</v>
      </c>
      <c r="AE7">
        <f t="shared" si="12"/>
        <v>7232939.6000000015</v>
      </c>
      <c r="AF7" t="str">
        <f t="shared" si="13"/>
        <v xml:space="preserve"> </v>
      </c>
      <c r="AG7" s="11"/>
      <c r="AI7" s="6" t="s">
        <v>18</v>
      </c>
      <c r="AJ7" s="13">
        <v>5448007.6700000027</v>
      </c>
      <c r="AK7" t="str">
        <f t="shared" si="14"/>
        <v>₦5M</v>
      </c>
      <c r="AM7" t="str">
        <f t="shared" si="4"/>
        <v>Chioma</v>
      </c>
      <c r="AN7">
        <f t="shared" si="5"/>
        <v>5448007.6700000027</v>
      </c>
      <c r="AO7" t="str">
        <f t="shared" si="15"/>
        <v xml:space="preserve"> </v>
      </c>
      <c r="AP7" t="str">
        <f t="shared" si="16"/>
        <v xml:space="preserve"> </v>
      </c>
      <c r="AQ7" s="11"/>
      <c r="AS7" s="6" t="s">
        <v>65</v>
      </c>
      <c r="AT7" s="13">
        <v>4610390.8999999985</v>
      </c>
      <c r="AU7" t="str">
        <f t="shared" si="17"/>
        <v>₦5M</v>
      </c>
      <c r="AW7" t="str">
        <f t="shared" si="6"/>
        <v>Tue</v>
      </c>
      <c r="AX7">
        <f t="shared" si="7"/>
        <v>4610390.8999999985</v>
      </c>
      <c r="AY7" t="str">
        <f t="shared" si="18"/>
        <v xml:space="preserve"> </v>
      </c>
      <c r="BA7" s="11"/>
      <c r="BC7" s="6" t="s">
        <v>77</v>
      </c>
      <c r="BD7">
        <v>3570278.61</v>
      </c>
      <c r="BE7" t="str">
        <f t="shared" si="19"/>
        <v>₦4M</v>
      </c>
      <c r="BG7" t="str">
        <f t="shared" si="8"/>
        <v>Apr</v>
      </c>
      <c r="BH7">
        <f t="shared" si="9"/>
        <v>3570278.61</v>
      </c>
      <c r="BI7" t="e">
        <f t="shared" si="20"/>
        <v>#N/A</v>
      </c>
      <c r="BJ7" t="e">
        <f t="shared" si="21"/>
        <v>#N/A</v>
      </c>
    </row>
    <row r="8" spans="1:62" x14ac:dyDescent="0.25">
      <c r="E8" s="11"/>
      <c r="G8" s="6" t="s">
        <v>20</v>
      </c>
      <c r="K8" s="6" t="s">
        <v>20</v>
      </c>
      <c r="L8" s="13">
        <v>1441356.64</v>
      </c>
      <c r="M8" t="str">
        <f t="shared" si="22"/>
        <v>₦1M</v>
      </c>
      <c r="P8" t="str">
        <f t="shared" si="0"/>
        <v>Noodles Pack</v>
      </c>
      <c r="Q8">
        <f t="shared" si="1"/>
        <v>1441356.64</v>
      </c>
      <c r="R8" t="str">
        <f t="shared" si="11"/>
        <v xml:space="preserve"> </v>
      </c>
      <c r="T8" t="s">
        <v>37</v>
      </c>
      <c r="W8" s="11"/>
      <c r="AG8" s="11"/>
      <c r="AI8" s="6" t="s">
        <v>22</v>
      </c>
      <c r="AJ8" s="13">
        <v>4183844.3900000006</v>
      </c>
      <c r="AK8" t="str">
        <f t="shared" si="14"/>
        <v>₦4M</v>
      </c>
      <c r="AM8" t="str">
        <f t="shared" si="4"/>
        <v>John</v>
      </c>
      <c r="AN8">
        <f t="shared" si="5"/>
        <v>4183844.3900000006</v>
      </c>
      <c r="AO8" t="str">
        <f t="shared" si="15"/>
        <v xml:space="preserve"> </v>
      </c>
      <c r="AP8" t="str">
        <f t="shared" si="16"/>
        <v xml:space="preserve"> </v>
      </c>
      <c r="AQ8" s="11"/>
      <c r="AS8" s="6" t="s">
        <v>66</v>
      </c>
      <c r="AT8" s="13">
        <v>4519640.669999999</v>
      </c>
      <c r="AU8" t="str">
        <f t="shared" si="17"/>
        <v>₦5M</v>
      </c>
      <c r="AW8" t="str">
        <f t="shared" si="6"/>
        <v>Wed</v>
      </c>
      <c r="AX8">
        <f t="shared" si="7"/>
        <v>4519640.669999999</v>
      </c>
      <c r="AY8" t="str">
        <f t="shared" si="18"/>
        <v xml:space="preserve"> </v>
      </c>
      <c r="BA8" s="11"/>
      <c r="BC8" s="6" t="s">
        <v>78</v>
      </c>
      <c r="BD8">
        <v>2412453.2200000002</v>
      </c>
      <c r="BE8" t="str">
        <f t="shared" si="19"/>
        <v>₦2M</v>
      </c>
      <c r="BG8" t="str">
        <f t="shared" si="8"/>
        <v>May</v>
      </c>
      <c r="BH8">
        <f t="shared" si="9"/>
        <v>2412453.2200000002</v>
      </c>
      <c r="BI8" t="e">
        <f t="shared" si="20"/>
        <v>#N/A</v>
      </c>
      <c r="BJ8" t="e">
        <f t="shared" si="21"/>
        <v>#N/A</v>
      </c>
    </row>
    <row r="9" spans="1:62" x14ac:dyDescent="0.25">
      <c r="E9" s="11"/>
      <c r="G9" s="6" t="s">
        <v>24</v>
      </c>
      <c r="K9" s="6" t="s">
        <v>8</v>
      </c>
      <c r="L9" s="13">
        <v>1433399.3499999994</v>
      </c>
      <c r="M9" t="str">
        <f t="shared" si="22"/>
        <v>₦1M</v>
      </c>
      <c r="P9" t="str">
        <f t="shared" si="0"/>
        <v>Milk</v>
      </c>
      <c r="Q9">
        <f t="shared" si="1"/>
        <v>1433399.3499999994</v>
      </c>
      <c r="R9" t="str">
        <f t="shared" si="11"/>
        <v xml:space="preserve"> </v>
      </c>
      <c r="T9" s="7">
        <f>Sales_Amt</f>
        <v>32423279.979999971</v>
      </c>
      <c r="W9" s="11"/>
      <c r="Y9" s="6" t="s">
        <v>47</v>
      </c>
      <c r="AB9" t="s">
        <v>96</v>
      </c>
      <c r="AG9" s="11"/>
      <c r="AI9" s="6" t="s">
        <v>27</v>
      </c>
      <c r="AJ9" s="13">
        <v>1553303.2899999998</v>
      </c>
      <c r="AK9" t="str">
        <f t="shared" si="14"/>
        <v>₦2M</v>
      </c>
      <c r="AM9" t="str">
        <f t="shared" si="4"/>
        <v>Grace</v>
      </c>
      <c r="AN9">
        <f t="shared" si="5"/>
        <v>1553303.2899999998</v>
      </c>
      <c r="AO9" t="str">
        <f t="shared" si="15"/>
        <v xml:space="preserve"> </v>
      </c>
      <c r="AP9">
        <f>IF(AN9=MIN($AJ$4:$AJ$9),AN9," ")</f>
        <v>1553303.2899999998</v>
      </c>
      <c r="AQ9" s="11"/>
      <c r="AS9" s="6" t="s">
        <v>69</v>
      </c>
      <c r="AT9" s="13">
        <v>4342370.9200000018</v>
      </c>
      <c r="AU9" t="str">
        <f t="shared" si="17"/>
        <v>₦4M</v>
      </c>
      <c r="AW9" t="str">
        <f t="shared" si="6"/>
        <v>Sat</v>
      </c>
      <c r="AX9">
        <f t="shared" si="7"/>
        <v>4342370.9200000018</v>
      </c>
      <c r="AY9" t="str">
        <f t="shared" si="18"/>
        <v xml:space="preserve"> </v>
      </c>
      <c r="BA9" s="11"/>
      <c r="BC9" s="6" t="s">
        <v>79</v>
      </c>
      <c r="BD9">
        <v>2686881.93</v>
      </c>
      <c r="BE9" t="str">
        <f t="shared" si="19"/>
        <v>₦3M</v>
      </c>
      <c r="BG9" t="str">
        <f t="shared" si="8"/>
        <v>Jun</v>
      </c>
      <c r="BH9">
        <f t="shared" si="9"/>
        <v>2686881.93</v>
      </c>
      <c r="BI9" t="e">
        <f t="shared" si="20"/>
        <v>#N/A</v>
      </c>
      <c r="BJ9" t="e">
        <f t="shared" si="21"/>
        <v>#N/A</v>
      </c>
    </row>
    <row r="10" spans="1:62" x14ac:dyDescent="0.25">
      <c r="E10" s="11"/>
      <c r="G10" s="6" t="s">
        <v>12</v>
      </c>
      <c r="K10" s="6" t="s">
        <v>24</v>
      </c>
      <c r="L10" s="13">
        <v>894547.28000000014</v>
      </c>
      <c r="M10" t="str">
        <f t="shared" si="22"/>
        <v>₦895K</v>
      </c>
      <c r="P10" t="str">
        <f t="shared" si="0"/>
        <v>Sugar</v>
      </c>
      <c r="Q10">
        <f t="shared" si="1"/>
        <v>894547.28000000014</v>
      </c>
      <c r="R10" t="str">
        <f t="shared" si="11"/>
        <v xml:space="preserve"> </v>
      </c>
      <c r="W10" s="11"/>
      <c r="Y10" s="6" t="s">
        <v>48</v>
      </c>
      <c r="Z10">
        <f>MIN(Z4:Z7)</f>
        <v>7232939.6000000015</v>
      </c>
      <c r="AB10">
        <f>MAX(Z4:Z7)</f>
        <v>9639115.8800000027</v>
      </c>
      <c r="AG10" s="11"/>
      <c r="AQ10" s="11"/>
      <c r="AS10" s="6" t="s">
        <v>67</v>
      </c>
      <c r="AT10" s="13">
        <v>3918357.86</v>
      </c>
      <c r="AU10" t="str">
        <f t="shared" si="17"/>
        <v>₦4M</v>
      </c>
      <c r="AW10" t="str">
        <f t="shared" si="6"/>
        <v>Thu</v>
      </c>
      <c r="AX10">
        <f t="shared" si="7"/>
        <v>3918357.86</v>
      </c>
      <c r="AY10" t="str">
        <f t="shared" si="18"/>
        <v xml:space="preserve"> </v>
      </c>
      <c r="BA10" s="11"/>
      <c r="BC10" s="6" t="s">
        <v>80</v>
      </c>
      <c r="BD10">
        <v>2271345.2400000002</v>
      </c>
      <c r="BE10" t="str">
        <f t="shared" si="19"/>
        <v>₦2M</v>
      </c>
      <c r="BG10" t="str">
        <f t="shared" si="8"/>
        <v>Jul</v>
      </c>
      <c r="BH10">
        <f t="shared" si="9"/>
        <v>2271345.2400000002</v>
      </c>
      <c r="BI10" t="e">
        <f t="shared" si="20"/>
        <v>#N/A</v>
      </c>
      <c r="BJ10" t="e">
        <f t="shared" si="21"/>
        <v>#N/A</v>
      </c>
    </row>
    <row r="11" spans="1:62" x14ac:dyDescent="0.25">
      <c r="E11" s="11"/>
      <c r="G11" s="6" t="s">
        <v>41</v>
      </c>
      <c r="K11" s="6" t="s">
        <v>12</v>
      </c>
      <c r="L11" s="13">
        <v>882343.83000000007</v>
      </c>
      <c r="M11" t="str">
        <f t="shared" si="22"/>
        <v>₦882K</v>
      </c>
      <c r="P11" t="str">
        <f t="shared" si="0"/>
        <v>Tomato Paste</v>
      </c>
      <c r="Q11">
        <f t="shared" si="1"/>
        <v>882343.83000000007</v>
      </c>
      <c r="R11" t="str">
        <f t="shared" si="11"/>
        <v xml:space="preserve"> </v>
      </c>
      <c r="T11" t="s">
        <v>38</v>
      </c>
      <c r="W11" s="11"/>
      <c r="Y11" s="6" t="s">
        <v>49</v>
      </c>
      <c r="Z11" t="str">
        <f>INDEX(Y4:Y7,MATCH(Z10,Z4:Z7,0))</f>
        <v>Lagos</v>
      </c>
      <c r="AB11" t="str">
        <f>INDEX($Y$4:$Y$7,MATCH(AB10,$Z$4:$Z$7,0))</f>
        <v>Kano</v>
      </c>
      <c r="AG11" s="11"/>
      <c r="AQ11" s="11"/>
      <c r="BA11" s="11"/>
      <c r="BC11" s="6" t="s">
        <v>81</v>
      </c>
      <c r="BD11">
        <v>4301440.6499999994</v>
      </c>
      <c r="BE11" t="str">
        <f t="shared" si="19"/>
        <v>₦4M</v>
      </c>
      <c r="BG11" t="str">
        <f t="shared" si="8"/>
        <v>Aug</v>
      </c>
      <c r="BH11">
        <f t="shared" si="9"/>
        <v>4301440.6499999994</v>
      </c>
      <c r="BI11">
        <f t="shared" si="20"/>
        <v>4301440.6499999994</v>
      </c>
      <c r="BJ11" t="e">
        <f t="shared" si="21"/>
        <v>#N/A</v>
      </c>
    </row>
    <row r="12" spans="1:62" x14ac:dyDescent="0.25">
      <c r="E12" s="11"/>
      <c r="G12" s="6" t="s">
        <v>40</v>
      </c>
      <c r="K12" s="6" t="s">
        <v>23</v>
      </c>
      <c r="L12" s="13">
        <v>799560.07</v>
      </c>
      <c r="M12" t="str">
        <f t="shared" si="22"/>
        <v>₦800K</v>
      </c>
      <c r="P12" t="str">
        <f t="shared" si="0"/>
        <v>Bread</v>
      </c>
      <c r="Q12">
        <f t="shared" si="1"/>
        <v>799560.07</v>
      </c>
      <c r="R12" t="str">
        <f t="shared" si="11"/>
        <v xml:space="preserve"> </v>
      </c>
      <c r="T12" s="8">
        <f>SUM(U4:U5)/Sales_Amt</f>
        <v>0.63198799204274747</v>
      </c>
      <c r="W12" s="11"/>
      <c r="Y12" s="6" t="s">
        <v>50</v>
      </c>
      <c r="Z12">
        <f>Sales_Amt</f>
        <v>32423279.979999971</v>
      </c>
      <c r="AG12" s="11"/>
      <c r="AM12" t="s">
        <v>52</v>
      </c>
      <c r="AN12" t="s">
        <v>53</v>
      </c>
      <c r="AO12" t="s">
        <v>54</v>
      </c>
      <c r="AQ12" s="11"/>
      <c r="AV12" t="s">
        <v>70</v>
      </c>
      <c r="AW12" t="s">
        <v>53</v>
      </c>
      <c r="AX12" t="s">
        <v>71</v>
      </c>
      <c r="BA12" s="11"/>
      <c r="BC12" s="6" t="s">
        <v>82</v>
      </c>
      <c r="BD12">
        <v>2037453.45</v>
      </c>
      <c r="BE12" t="str">
        <f t="shared" si="19"/>
        <v>₦2M</v>
      </c>
      <c r="BG12" t="str">
        <f t="shared" si="8"/>
        <v>Sep</v>
      </c>
      <c r="BH12">
        <f t="shared" si="9"/>
        <v>2037453.45</v>
      </c>
      <c r="BI12" t="e">
        <f t="shared" si="20"/>
        <v>#N/A</v>
      </c>
      <c r="BJ12" t="e">
        <f t="shared" si="21"/>
        <v>#N/A</v>
      </c>
    </row>
    <row r="13" spans="1:62" x14ac:dyDescent="0.25">
      <c r="E13" s="11"/>
      <c r="G13" s="6" t="s">
        <v>39</v>
      </c>
      <c r="K13" s="6" t="s">
        <v>41</v>
      </c>
      <c r="L13" s="13">
        <v>559366.27000000014</v>
      </c>
      <c r="M13" t="str">
        <f t="shared" si="22"/>
        <v>₦559K</v>
      </c>
      <c r="P13" t="str">
        <f t="shared" si="0"/>
        <v>Juice</v>
      </c>
      <c r="Q13">
        <f t="shared" si="1"/>
        <v>559366.27000000014</v>
      </c>
      <c r="R13" t="str">
        <f t="shared" si="11"/>
        <v xml:space="preserve"> </v>
      </c>
      <c r="W13" s="11"/>
      <c r="Y13" s="6" t="s">
        <v>51</v>
      </c>
      <c r="Z13" s="9">
        <f>Z10/Z12</f>
        <v>0.22307859058249443</v>
      </c>
      <c r="AB13" s="9">
        <f>AB10/Z12</f>
        <v>0.2972899683790724</v>
      </c>
      <c r="AG13" s="11"/>
      <c r="AM13">
        <v>1</v>
      </c>
      <c r="AN13">
        <f>MAX(AJ4:AJ9)</f>
        <v>7791700.0100000035</v>
      </c>
      <c r="AO13" t="str">
        <f>INDEX($AI$4:$AI$9,MATCH(AN13,$AJ$4:$AJ$9,0))</f>
        <v>Aishat</v>
      </c>
      <c r="AQ13" s="11"/>
      <c r="AV13">
        <v>1</v>
      </c>
      <c r="AW13">
        <f>LARGE($AT$4:$AT$10,AV13)</f>
        <v>5450836.1200000029</v>
      </c>
      <c r="AX13" t="str">
        <f>INDEX($AS$4:$AS$10,MATCH(AW13,$AT$4:$AT$10,0))</f>
        <v>Sun</v>
      </c>
      <c r="BA13" s="11"/>
      <c r="BC13" s="6" t="s">
        <v>83</v>
      </c>
      <c r="BD13">
        <v>2741577.6799999992</v>
      </c>
      <c r="BE13" t="str">
        <f t="shared" si="19"/>
        <v>₦3M</v>
      </c>
      <c r="BG13" t="str">
        <f t="shared" si="8"/>
        <v>Oct</v>
      </c>
      <c r="BH13">
        <f t="shared" si="9"/>
        <v>2741577.6799999992</v>
      </c>
      <c r="BI13" t="e">
        <f t="shared" si="20"/>
        <v>#N/A</v>
      </c>
      <c r="BJ13" t="e">
        <f t="shared" si="21"/>
        <v>#N/A</v>
      </c>
    </row>
    <row r="14" spans="1:62" x14ac:dyDescent="0.25">
      <c r="E14" s="11"/>
      <c r="K14" s="6"/>
      <c r="R14" t="str">
        <f t="shared" si="11"/>
        <v xml:space="preserve"> </v>
      </c>
      <c r="AM14">
        <v>2</v>
      </c>
      <c r="AN14">
        <f>MIN(AJ4:AJ9)</f>
        <v>1553303.2899999998</v>
      </c>
      <c r="AO14" t="str">
        <f>INDEX($AI$4:$AI$9,MATCH(AN14,$AJ$4:$AJ$9,0))</f>
        <v>Grace</v>
      </c>
      <c r="AQ14" s="11"/>
      <c r="AV14">
        <v>2</v>
      </c>
      <c r="AW14">
        <f>LARGE($AT$4:$AT$10,AV14)</f>
        <v>4914556.41</v>
      </c>
      <c r="AX14" t="str">
        <f>INDEX($AS$4:$AS$10,MATCH(AW14,$AT$4:$AT$10,0))</f>
        <v>Fri</v>
      </c>
      <c r="BA14" s="11"/>
      <c r="BC14" s="6" t="s">
        <v>84</v>
      </c>
      <c r="BD14">
        <v>2932471.4899999998</v>
      </c>
      <c r="BE14" t="str">
        <f t="shared" si="19"/>
        <v>₦3M</v>
      </c>
      <c r="BG14" t="str">
        <f t="shared" si="8"/>
        <v>Nov</v>
      </c>
      <c r="BH14">
        <f t="shared" si="9"/>
        <v>2932471.4899999998</v>
      </c>
      <c r="BI14" t="e">
        <f t="shared" si="20"/>
        <v>#N/A</v>
      </c>
      <c r="BJ14" t="e">
        <f t="shared" si="21"/>
        <v>#N/A</v>
      </c>
    </row>
    <row r="15" spans="1:62" x14ac:dyDescent="0.25">
      <c r="E15" s="11"/>
      <c r="S15">
        <v>1</v>
      </c>
      <c r="T15" t="str">
        <f>"Sales are highly dominant in "&amp;V4&amp;" and "&amp;V5&amp;" , which together account for "&amp;TEXT(T12,"0%")&amp;" of total sales across "&amp;V6&amp;" products."</f>
        <v>Sales are highly dominant in Rice (10kg) and Turkey , which together account for 63% of total sales across 10 products.</v>
      </c>
      <c r="AM15" t="s">
        <v>50</v>
      </c>
      <c r="AN15">
        <f>Sales_Amt</f>
        <v>32423279.979999971</v>
      </c>
      <c r="AQ15" s="11"/>
      <c r="BA15" s="11"/>
      <c r="BC15" s="6" t="s">
        <v>85</v>
      </c>
      <c r="BD15">
        <v>2611046.649999999</v>
      </c>
      <c r="BE15" t="str">
        <f t="shared" si="19"/>
        <v>₦3M</v>
      </c>
      <c r="BG15" t="str">
        <f t="shared" si="8"/>
        <v>Dec</v>
      </c>
      <c r="BH15">
        <f t="shared" si="9"/>
        <v>2611046.649999999</v>
      </c>
      <c r="BI15" t="e">
        <f t="shared" si="20"/>
        <v>#N/A</v>
      </c>
      <c r="BJ15" t="e">
        <f t="shared" si="21"/>
        <v>#N/A</v>
      </c>
    </row>
    <row r="16" spans="1:62" x14ac:dyDescent="0.25">
      <c r="E16" s="11"/>
      <c r="G16" s="6"/>
      <c r="AM16" t="s">
        <v>57</v>
      </c>
      <c r="AN16" s="9">
        <f>AN13/AN15</f>
        <v>0.24031189980798515</v>
      </c>
      <c r="AQ16" s="11"/>
      <c r="AV16" t="s">
        <v>73</v>
      </c>
      <c r="AW16" s="9">
        <f>AW13/Sales_Amt</f>
        <v>0.16811488915872502</v>
      </c>
      <c r="BA16" s="11"/>
    </row>
    <row r="17" spans="5:62" x14ac:dyDescent="0.25">
      <c r="E17" s="11"/>
      <c r="AM17" t="s">
        <v>58</v>
      </c>
      <c r="AN17" s="9">
        <f>AN14/AN15</f>
        <v>4.7907037503859634E-2</v>
      </c>
      <c r="AQ17" s="11"/>
      <c r="AW17" s="9">
        <f>AW14/Sales_Amt</f>
        <v>0.15157493051386237</v>
      </c>
      <c r="BA17" s="11"/>
      <c r="BH17" t="s">
        <v>89</v>
      </c>
      <c r="BI17" t="s">
        <v>53</v>
      </c>
      <c r="BJ17" t="s">
        <v>88</v>
      </c>
    </row>
    <row r="18" spans="5:62" x14ac:dyDescent="0.25">
      <c r="E18" s="11"/>
      <c r="S18">
        <v>2</v>
      </c>
      <c r="T18" t="str">
        <f>Z11&amp;" is the lowest performing region,contributing "&amp;TEXT(Z13,"0.0%")&amp;" of total revenue."</f>
        <v>Lagos is the lowest performing region,contributing 22.3% of total revenue.</v>
      </c>
      <c r="AQ18" s="11"/>
      <c r="BH18">
        <v>1</v>
      </c>
      <c r="BI18">
        <f>MAX(BD4:BD15)</f>
        <v>4301440.6499999994</v>
      </c>
      <c r="BJ18" t="str">
        <f>INDEX($BC$4:$BC$15,MATCH(BI18,$BD$4:$BD$15,0))</f>
        <v>Aug</v>
      </c>
    </row>
    <row r="19" spans="5:62" x14ac:dyDescent="0.25">
      <c r="E19" s="11"/>
      <c r="AQ19" s="11"/>
      <c r="BH19">
        <v>2</v>
      </c>
      <c r="BI19">
        <f>MIN(BD4:BD15)</f>
        <v>1855882.5999999996</v>
      </c>
      <c r="BJ19" t="str">
        <f>INDEX($BC$4:$BC$15,MATCH(BI19,$BD$4:$BD$15,0))</f>
        <v>Jan</v>
      </c>
    </row>
    <row r="20" spans="5:62" x14ac:dyDescent="0.25">
      <c r="E20" s="11"/>
      <c r="S20">
        <v>3</v>
      </c>
      <c r="T20" t="str">
        <f>AO13&amp;" is the highest-performing sales rep accounting for "&amp;TEXT(AN16,"0%")&amp;" of total revenue, while "&amp;AO14&amp;" contributes "&amp;TEXT(AN17,"0.0%")&amp;" indicating a significant variation in individual sales performance."</f>
        <v>Aishat is the highest-performing sales rep accounting for 24% of total revenue, while Grace contributes 4.8% indicating a significant variation in individual sales performance.</v>
      </c>
      <c r="AQ20" s="11"/>
      <c r="BH20" t="s">
        <v>90</v>
      </c>
      <c r="BI20">
        <f>Sales_Amt</f>
        <v>32423279.979999971</v>
      </c>
    </row>
    <row r="21" spans="5:62" x14ac:dyDescent="0.25">
      <c r="E21" s="11"/>
      <c r="BH21" t="s">
        <v>91</v>
      </c>
      <c r="BI21" s="9">
        <f>BI18/BI20</f>
        <v>0.13266519157387244</v>
      </c>
    </row>
    <row r="22" spans="5:62" x14ac:dyDescent="0.25">
      <c r="E22" s="11"/>
      <c r="S22">
        <v>4</v>
      </c>
      <c r="T22" t="str">
        <f>AX13&amp;" and "&amp;AX14&amp;" records the highest sales volume, contributing "&amp;TEXT(AW16,"0.0%")&amp;" and "&amp;TEXT(AW17,"0.0%")&amp;" respectively including stronger customer activity during weekends."</f>
        <v>Sun and Fri records the highest sales volume, contributing 16.8% and 15.2% respectively including stronger customer activity during weekends.</v>
      </c>
      <c r="BH22" t="s">
        <v>92</v>
      </c>
      <c r="BI22" s="9">
        <f>BI19/BI20</f>
        <v>5.7239199770806201E-2</v>
      </c>
    </row>
    <row r="23" spans="5:62" x14ac:dyDescent="0.25">
      <c r="E23" s="11"/>
    </row>
    <row r="24" spans="5:62" x14ac:dyDescent="0.25">
      <c r="E24" s="11"/>
      <c r="S24">
        <v>5</v>
      </c>
      <c r="T24" t="str">
        <f>"Sales peaked in "&amp;BJ18&amp;" resulting to "&amp;TEXT(BI21,"0.0%")&amp;" of total revenue, while "&amp;BJ19&amp;" recorded the lowest sales of "&amp;TEXT(BI22,"0.0%")&amp;" of total revenue."</f>
        <v>Sales peaked in Aug resulting to 13.3% of total revenue, while Jan recorded the lowest sales of 5.7% of total revenue.</v>
      </c>
    </row>
    <row r="26" spans="5:62" x14ac:dyDescent="0.25">
      <c r="S26">
        <v>6</v>
      </c>
      <c r="T26" t="str">
        <f>"Insight 1 : "&amp;AB11&amp;" leads regional sales performance, accounting for "&amp; TEXT(AB13,"0.0%")&amp;" of total revenue generated. In contrast, "&amp;Z11&amp;" records the lowest contribution and may benefit from focused marketing efforts, promotions, and customer acquisition strategies."</f>
        <v>Insight 1 : Kano leads regional sales performance, accounting for 29.7% of total revenue generated. In contrast, Lagos records the lowest contribution and may benefit from focused marketing efforts, promotions, and customer acquisition strategies.</v>
      </c>
    </row>
    <row r="27" spans="5:62" x14ac:dyDescent="0.25">
      <c r="S27">
        <v>7</v>
      </c>
      <c r="T27" t="str">
        <f>"Insight 2 : Pair "&amp;AO13&amp;" as the Top sales rep with "&amp;AO14&amp;" for mentoring sessions, and probably consider commission restructuring as incentive."</f>
        <v>Insight 2 : Pair Aishat as the Top sales rep with Grace for mentoring sessions, and probably consider commission restructuring as incentive.</v>
      </c>
    </row>
    <row r="28" spans="5:62" x14ac:dyDescent="0.25">
      <c r="S28">
        <v>8</v>
      </c>
      <c r="T28" t="str">
        <f>"Insight 3: The business is overly dependent on "&amp;V4&amp;". While it is the cash cow, a supply disruption or price shift could cut nearly half of revenue."</f>
        <v>Insight 3: The business is overly dependent on Rice (10kg). While it is the cash cow, a supply disruption or price shift could cut nearly half of revenue.</v>
      </c>
    </row>
    <row r="30" spans="5:62" x14ac:dyDescent="0.25">
      <c r="S30">
        <v>9</v>
      </c>
      <c r="T30" s="10" t="s">
        <v>94</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A329" sqref="A329"/>
    </sheetView>
  </sheetViews>
  <sheetFormatPr defaultRowHeight="15" x14ac:dyDescent="0.25"/>
  <cols>
    <col min="1" max="1" width="10.7109375" style="1" bestFit="1" customWidth="1"/>
    <col min="2" max="2" width="15" bestFit="1" customWidth="1"/>
    <col min="3" max="3" width="11" customWidth="1"/>
    <col min="4" max="4" width="12.7109375" bestFit="1" customWidth="1"/>
    <col min="5" max="5" width="11.5703125" customWidth="1"/>
    <col min="6" max="6" width="10.85546875" customWidth="1"/>
    <col min="7" max="7" width="11.85546875" customWidth="1"/>
    <col min="8" max="8" width="15.28515625" customWidth="1"/>
    <col min="9" max="9" width="9.28515625" bestFit="1" customWidth="1"/>
    <col min="10" max="10" width="14.7109375" bestFit="1" customWidth="1"/>
    <col min="11" max="11" width="11.7109375" bestFit="1" customWidth="1"/>
    <col min="12" max="12" width="13.85546875" bestFit="1" customWidth="1"/>
  </cols>
  <sheetData>
    <row r="1" spans="1:12" x14ac:dyDescent="0.25">
      <c r="A1" s="1" t="s">
        <v>0</v>
      </c>
      <c r="B1" t="s">
        <v>1</v>
      </c>
      <c r="C1" t="s">
        <v>2</v>
      </c>
      <c r="D1" t="s">
        <v>3</v>
      </c>
      <c r="E1" t="s">
        <v>4</v>
      </c>
      <c r="F1" t="s">
        <v>5</v>
      </c>
      <c r="G1" t="s">
        <v>6</v>
      </c>
      <c r="H1" t="s">
        <v>7</v>
      </c>
      <c r="I1" t="s">
        <v>59</v>
      </c>
      <c r="J1" t="s">
        <v>60</v>
      </c>
      <c r="K1" t="s">
        <v>61</v>
      </c>
      <c r="L1" t="s">
        <v>62</v>
      </c>
    </row>
    <row r="2" spans="1:12" x14ac:dyDescent="0.25">
      <c r="A2" s="1">
        <v>45759</v>
      </c>
      <c r="B2" t="s">
        <v>8</v>
      </c>
      <c r="C2" t="s">
        <v>9</v>
      </c>
      <c r="D2" t="s">
        <v>10</v>
      </c>
      <c r="E2" t="s">
        <v>26</v>
      </c>
      <c r="F2">
        <v>8</v>
      </c>
      <c r="G2">
        <v>1271.03</v>
      </c>
      <c r="H2">
        <v>10168.24</v>
      </c>
      <c r="I2">
        <f t="shared" ref="I2:I65" si="0">MONTH(A2)</f>
        <v>4</v>
      </c>
      <c r="J2" t="str">
        <f t="shared" ref="J2:J65" si="1">TEXT(A2,"MMM")</f>
        <v>Apr</v>
      </c>
      <c r="K2">
        <f t="shared" ref="K2:K65" si="2">WEEKDAY(A2,1)</f>
        <v>7</v>
      </c>
      <c r="L2" t="str">
        <f t="shared" ref="L2:L65" si="3">TEXT(K2,"DDD")</f>
        <v>Sat</v>
      </c>
    </row>
    <row r="3" spans="1:12" x14ac:dyDescent="0.25">
      <c r="A3" s="1">
        <v>45759</v>
      </c>
      <c r="B3" t="s">
        <v>12</v>
      </c>
      <c r="C3" t="s">
        <v>13</v>
      </c>
      <c r="D3" t="s">
        <v>10</v>
      </c>
      <c r="E3" t="s">
        <v>26</v>
      </c>
      <c r="F3">
        <v>11</v>
      </c>
      <c r="G3">
        <v>1097.74</v>
      </c>
      <c r="H3">
        <v>12075.14</v>
      </c>
      <c r="I3">
        <f t="shared" si="0"/>
        <v>4</v>
      </c>
      <c r="J3" t="str">
        <f t="shared" si="1"/>
        <v>Apr</v>
      </c>
      <c r="K3">
        <f t="shared" si="2"/>
        <v>7</v>
      </c>
      <c r="L3" t="str">
        <f t="shared" si="3"/>
        <v>Sat</v>
      </c>
    </row>
    <row r="4" spans="1:12" x14ac:dyDescent="0.25">
      <c r="A4" s="1">
        <v>45756</v>
      </c>
      <c r="B4" t="s">
        <v>41</v>
      </c>
      <c r="C4" t="s">
        <v>13</v>
      </c>
      <c r="D4" t="s">
        <v>14</v>
      </c>
      <c r="E4" t="s">
        <v>15</v>
      </c>
      <c r="F4">
        <v>2</v>
      </c>
      <c r="G4">
        <v>679.92</v>
      </c>
      <c r="H4">
        <v>1359.84</v>
      </c>
      <c r="I4">
        <f t="shared" si="0"/>
        <v>4</v>
      </c>
      <c r="J4" t="str">
        <f t="shared" si="1"/>
        <v>Apr</v>
      </c>
      <c r="K4">
        <f t="shared" si="2"/>
        <v>4</v>
      </c>
      <c r="L4" t="str">
        <f t="shared" si="3"/>
        <v>Wed</v>
      </c>
    </row>
    <row r="5" spans="1:12" x14ac:dyDescent="0.25">
      <c r="A5" s="1">
        <v>45950</v>
      </c>
      <c r="B5" t="s">
        <v>16</v>
      </c>
      <c r="C5" t="s">
        <v>9</v>
      </c>
      <c r="D5" t="s">
        <v>17</v>
      </c>
      <c r="E5" t="s">
        <v>18</v>
      </c>
      <c r="F5">
        <v>12</v>
      </c>
      <c r="G5">
        <v>1784.59</v>
      </c>
      <c r="H5">
        <v>21415.08</v>
      </c>
      <c r="I5">
        <f t="shared" si="0"/>
        <v>10</v>
      </c>
      <c r="J5" t="str">
        <f t="shared" si="1"/>
        <v>Oct</v>
      </c>
      <c r="K5">
        <f t="shared" si="2"/>
        <v>2</v>
      </c>
      <c r="L5" t="str">
        <f t="shared" si="3"/>
        <v>Mon</v>
      </c>
    </row>
    <row r="6" spans="1:12" x14ac:dyDescent="0.25">
      <c r="A6" s="1">
        <v>45716</v>
      </c>
      <c r="B6" t="s">
        <v>12</v>
      </c>
      <c r="C6" t="s">
        <v>13</v>
      </c>
      <c r="D6" t="s">
        <v>14</v>
      </c>
      <c r="E6" t="s">
        <v>15</v>
      </c>
      <c r="F6">
        <v>12</v>
      </c>
      <c r="G6">
        <v>907.69</v>
      </c>
      <c r="H6">
        <v>10892.28</v>
      </c>
      <c r="I6">
        <f t="shared" si="0"/>
        <v>2</v>
      </c>
      <c r="J6" t="str">
        <f t="shared" si="1"/>
        <v>Feb</v>
      </c>
      <c r="K6">
        <f t="shared" si="2"/>
        <v>6</v>
      </c>
      <c r="L6" t="str">
        <f t="shared" si="3"/>
        <v>Fri</v>
      </c>
    </row>
    <row r="7" spans="1:12" x14ac:dyDescent="0.25">
      <c r="A7" s="1">
        <v>45976</v>
      </c>
      <c r="B7" t="s">
        <v>40</v>
      </c>
      <c r="C7" t="s">
        <v>13</v>
      </c>
      <c r="D7" t="s">
        <v>17</v>
      </c>
      <c r="E7" t="s">
        <v>26</v>
      </c>
      <c r="F7">
        <v>7</v>
      </c>
      <c r="G7">
        <v>4011.57</v>
      </c>
      <c r="H7">
        <v>28080.99</v>
      </c>
      <c r="I7">
        <f t="shared" si="0"/>
        <v>11</v>
      </c>
      <c r="J7" t="str">
        <f t="shared" si="1"/>
        <v>Nov</v>
      </c>
      <c r="K7">
        <f t="shared" si="2"/>
        <v>7</v>
      </c>
      <c r="L7" t="str">
        <f t="shared" si="3"/>
        <v>Sat</v>
      </c>
    </row>
    <row r="8" spans="1:12" x14ac:dyDescent="0.25">
      <c r="A8" s="1">
        <v>45823</v>
      </c>
      <c r="B8" t="s">
        <v>16</v>
      </c>
      <c r="C8" t="s">
        <v>9</v>
      </c>
      <c r="D8" t="s">
        <v>19</v>
      </c>
      <c r="E8" t="s">
        <v>26</v>
      </c>
      <c r="F8">
        <v>9</v>
      </c>
      <c r="G8">
        <v>1773.95</v>
      </c>
      <c r="H8">
        <v>15965.55</v>
      </c>
      <c r="I8">
        <f t="shared" si="0"/>
        <v>6</v>
      </c>
      <c r="J8" t="str">
        <f t="shared" si="1"/>
        <v>Jun</v>
      </c>
      <c r="K8">
        <f t="shared" si="2"/>
        <v>1</v>
      </c>
      <c r="L8" t="str">
        <f t="shared" si="3"/>
        <v>Sun</v>
      </c>
    </row>
    <row r="9" spans="1:12" x14ac:dyDescent="0.25">
      <c r="A9" s="1">
        <v>45996</v>
      </c>
      <c r="B9" t="s">
        <v>20</v>
      </c>
      <c r="C9" t="s">
        <v>9</v>
      </c>
      <c r="D9" t="s">
        <v>19</v>
      </c>
      <c r="E9" t="s">
        <v>15</v>
      </c>
      <c r="F9">
        <v>14</v>
      </c>
      <c r="G9">
        <v>1401.95</v>
      </c>
      <c r="H9">
        <v>19627.3</v>
      </c>
      <c r="I9">
        <f t="shared" si="0"/>
        <v>12</v>
      </c>
      <c r="J9" t="str">
        <f t="shared" si="1"/>
        <v>Dec</v>
      </c>
      <c r="K9">
        <f t="shared" si="2"/>
        <v>6</v>
      </c>
      <c r="L9" t="str">
        <f t="shared" si="3"/>
        <v>Fri</v>
      </c>
    </row>
    <row r="10" spans="1:12" x14ac:dyDescent="0.25">
      <c r="A10" s="1">
        <v>45707</v>
      </c>
      <c r="B10" t="s">
        <v>41</v>
      </c>
      <c r="C10" t="s">
        <v>21</v>
      </c>
      <c r="D10" t="s">
        <v>14</v>
      </c>
      <c r="E10" t="s">
        <v>26</v>
      </c>
      <c r="F10">
        <v>4</v>
      </c>
      <c r="G10">
        <v>486.55</v>
      </c>
      <c r="H10">
        <v>1946.2</v>
      </c>
      <c r="I10">
        <f t="shared" si="0"/>
        <v>2</v>
      </c>
      <c r="J10" t="str">
        <f t="shared" si="1"/>
        <v>Feb</v>
      </c>
      <c r="K10">
        <f t="shared" si="2"/>
        <v>4</v>
      </c>
      <c r="L10" t="str">
        <f t="shared" si="3"/>
        <v>Wed</v>
      </c>
    </row>
    <row r="11" spans="1:12" x14ac:dyDescent="0.25">
      <c r="A11" s="1">
        <v>45847</v>
      </c>
      <c r="B11" t="s">
        <v>16</v>
      </c>
      <c r="C11" t="s">
        <v>21</v>
      </c>
      <c r="D11" t="s">
        <v>19</v>
      </c>
      <c r="E11" t="s">
        <v>26</v>
      </c>
      <c r="F11">
        <v>10</v>
      </c>
      <c r="G11">
        <v>3092.24</v>
      </c>
      <c r="H11">
        <v>30922.400000000001</v>
      </c>
      <c r="I11">
        <f t="shared" si="0"/>
        <v>7</v>
      </c>
      <c r="J11" t="str">
        <f t="shared" si="1"/>
        <v>Jul</v>
      </c>
      <c r="K11">
        <f t="shared" si="2"/>
        <v>4</v>
      </c>
      <c r="L11" t="str">
        <f t="shared" si="3"/>
        <v>Wed</v>
      </c>
    </row>
    <row r="12" spans="1:12" x14ac:dyDescent="0.25">
      <c r="A12" s="1">
        <v>45926</v>
      </c>
      <c r="B12" t="s">
        <v>41</v>
      </c>
      <c r="C12" t="s">
        <v>21</v>
      </c>
      <c r="D12" t="s">
        <v>10</v>
      </c>
      <c r="E12" t="s">
        <v>18</v>
      </c>
      <c r="F12">
        <v>8</v>
      </c>
      <c r="G12">
        <v>724.03</v>
      </c>
      <c r="H12">
        <v>5792.24</v>
      </c>
      <c r="I12">
        <f t="shared" si="0"/>
        <v>9</v>
      </c>
      <c r="J12" t="str">
        <f t="shared" si="1"/>
        <v>Sep</v>
      </c>
      <c r="K12">
        <f t="shared" si="2"/>
        <v>6</v>
      </c>
      <c r="L12" t="str">
        <f t="shared" si="3"/>
        <v>Fri</v>
      </c>
    </row>
    <row r="13" spans="1:12" x14ac:dyDescent="0.25">
      <c r="A13" s="1">
        <v>45893</v>
      </c>
      <c r="B13" t="s">
        <v>16</v>
      </c>
      <c r="C13" t="s">
        <v>13</v>
      </c>
      <c r="D13" t="s">
        <v>17</v>
      </c>
      <c r="E13" t="s">
        <v>26</v>
      </c>
      <c r="F13">
        <v>13</v>
      </c>
      <c r="G13">
        <v>1961.39</v>
      </c>
      <c r="H13">
        <v>25498.07</v>
      </c>
      <c r="I13">
        <f t="shared" si="0"/>
        <v>8</v>
      </c>
      <c r="J13" t="str">
        <f t="shared" si="1"/>
        <v>Aug</v>
      </c>
      <c r="K13">
        <f t="shared" si="2"/>
        <v>1</v>
      </c>
      <c r="L13" t="str">
        <f t="shared" si="3"/>
        <v>Sun</v>
      </c>
    </row>
    <row r="14" spans="1:12" x14ac:dyDescent="0.25">
      <c r="A14" s="1">
        <v>45672</v>
      </c>
      <c r="B14" t="s">
        <v>39</v>
      </c>
      <c r="C14" t="s">
        <v>9</v>
      </c>
      <c r="D14" t="s">
        <v>10</v>
      </c>
      <c r="E14" t="s">
        <v>22</v>
      </c>
      <c r="F14">
        <v>1</v>
      </c>
      <c r="G14">
        <v>12288.44</v>
      </c>
      <c r="H14">
        <v>12288.44</v>
      </c>
      <c r="I14">
        <f t="shared" si="0"/>
        <v>1</v>
      </c>
      <c r="J14" t="str">
        <f t="shared" si="1"/>
        <v>Jan</v>
      </c>
      <c r="K14">
        <f t="shared" si="2"/>
        <v>4</v>
      </c>
      <c r="L14" t="str">
        <f t="shared" si="3"/>
        <v>Wed</v>
      </c>
    </row>
    <row r="15" spans="1:12" x14ac:dyDescent="0.25">
      <c r="A15" s="1">
        <v>45719</v>
      </c>
      <c r="B15" t="s">
        <v>23</v>
      </c>
      <c r="C15" t="s">
        <v>9</v>
      </c>
      <c r="D15" t="s">
        <v>19</v>
      </c>
      <c r="E15" t="s">
        <v>26</v>
      </c>
      <c r="F15">
        <v>3</v>
      </c>
      <c r="G15">
        <v>930.21</v>
      </c>
      <c r="H15">
        <v>2790.63</v>
      </c>
      <c r="I15">
        <f t="shared" si="0"/>
        <v>3</v>
      </c>
      <c r="J15" t="str">
        <f t="shared" si="1"/>
        <v>Mar</v>
      </c>
      <c r="K15">
        <f t="shared" si="2"/>
        <v>2</v>
      </c>
      <c r="L15" t="str">
        <f t="shared" si="3"/>
        <v>Mon</v>
      </c>
    </row>
    <row r="16" spans="1:12" x14ac:dyDescent="0.25">
      <c r="A16" s="1">
        <v>45917</v>
      </c>
      <c r="B16" t="s">
        <v>12</v>
      </c>
      <c r="C16" t="s">
        <v>13</v>
      </c>
      <c r="D16" t="s">
        <v>14</v>
      </c>
      <c r="E16" t="s">
        <v>18</v>
      </c>
      <c r="F16">
        <v>7</v>
      </c>
      <c r="G16">
        <v>1089.02</v>
      </c>
      <c r="H16">
        <v>7623.14</v>
      </c>
      <c r="I16">
        <f t="shared" si="0"/>
        <v>9</v>
      </c>
      <c r="J16" t="str">
        <f t="shared" si="1"/>
        <v>Sep</v>
      </c>
      <c r="K16">
        <f t="shared" si="2"/>
        <v>4</v>
      </c>
      <c r="L16" t="str">
        <f t="shared" si="3"/>
        <v>Wed</v>
      </c>
    </row>
    <row r="17" spans="1:12" x14ac:dyDescent="0.25">
      <c r="A17" s="1">
        <v>45924</v>
      </c>
      <c r="B17" t="s">
        <v>16</v>
      </c>
      <c r="C17" t="s">
        <v>9</v>
      </c>
      <c r="D17" t="s">
        <v>19</v>
      </c>
      <c r="E17" t="s">
        <v>15</v>
      </c>
      <c r="F17">
        <v>3</v>
      </c>
      <c r="G17">
        <v>2636.95</v>
      </c>
      <c r="H17">
        <v>7910.85</v>
      </c>
      <c r="I17">
        <f t="shared" si="0"/>
        <v>9</v>
      </c>
      <c r="J17" t="str">
        <f t="shared" si="1"/>
        <v>Sep</v>
      </c>
      <c r="K17">
        <f t="shared" si="2"/>
        <v>4</v>
      </c>
      <c r="L17" t="str">
        <f t="shared" si="3"/>
        <v>Wed</v>
      </c>
    </row>
    <row r="18" spans="1:12" x14ac:dyDescent="0.25">
      <c r="A18" s="1">
        <v>45870</v>
      </c>
      <c r="B18" t="s">
        <v>23</v>
      </c>
      <c r="C18" t="s">
        <v>9</v>
      </c>
      <c r="D18" t="s">
        <v>10</v>
      </c>
      <c r="E18" t="s">
        <v>22</v>
      </c>
      <c r="F18">
        <v>15</v>
      </c>
      <c r="G18">
        <v>902.36</v>
      </c>
      <c r="H18">
        <v>13535.4</v>
      </c>
      <c r="I18">
        <f t="shared" si="0"/>
        <v>8</v>
      </c>
      <c r="J18" t="str">
        <f t="shared" si="1"/>
        <v>Aug</v>
      </c>
      <c r="K18">
        <f t="shared" si="2"/>
        <v>6</v>
      </c>
      <c r="L18" t="str">
        <f t="shared" si="3"/>
        <v>Fri</v>
      </c>
    </row>
    <row r="19" spans="1:12" x14ac:dyDescent="0.25">
      <c r="A19" s="1">
        <v>45913</v>
      </c>
      <c r="B19" t="s">
        <v>24</v>
      </c>
      <c r="C19" t="s">
        <v>21</v>
      </c>
      <c r="D19" t="s">
        <v>10</v>
      </c>
      <c r="E19" t="s">
        <v>26</v>
      </c>
      <c r="F19">
        <v>9</v>
      </c>
      <c r="G19">
        <v>1126.4000000000001</v>
      </c>
      <c r="H19">
        <v>10137.6</v>
      </c>
      <c r="I19">
        <f t="shared" si="0"/>
        <v>9</v>
      </c>
      <c r="J19" t="str">
        <f t="shared" si="1"/>
        <v>Sep</v>
      </c>
      <c r="K19">
        <f t="shared" si="2"/>
        <v>7</v>
      </c>
      <c r="L19" t="str">
        <f t="shared" si="3"/>
        <v>Sat</v>
      </c>
    </row>
    <row r="20" spans="1:12" x14ac:dyDescent="0.25">
      <c r="A20" s="1">
        <v>46002</v>
      </c>
      <c r="B20" t="s">
        <v>12</v>
      </c>
      <c r="C20" t="s">
        <v>9</v>
      </c>
      <c r="D20" t="s">
        <v>10</v>
      </c>
      <c r="E20" t="s">
        <v>22</v>
      </c>
      <c r="F20">
        <v>4</v>
      </c>
      <c r="G20">
        <v>1120.0899999999999</v>
      </c>
      <c r="H20">
        <v>4480.3599999999997</v>
      </c>
      <c r="I20">
        <f t="shared" si="0"/>
        <v>12</v>
      </c>
      <c r="J20" t="str">
        <f t="shared" si="1"/>
        <v>Dec</v>
      </c>
      <c r="K20">
        <f t="shared" si="2"/>
        <v>5</v>
      </c>
      <c r="L20" t="str">
        <f t="shared" si="3"/>
        <v>Thu</v>
      </c>
    </row>
    <row r="21" spans="1:12" x14ac:dyDescent="0.25">
      <c r="A21" s="1">
        <v>45887</v>
      </c>
      <c r="B21" t="s">
        <v>8</v>
      </c>
      <c r="C21" t="s">
        <v>9</v>
      </c>
      <c r="D21" t="s">
        <v>19</v>
      </c>
      <c r="E21" t="s">
        <v>26</v>
      </c>
      <c r="F21">
        <v>19</v>
      </c>
      <c r="G21">
        <v>956.08</v>
      </c>
      <c r="H21">
        <v>18165.52</v>
      </c>
      <c r="I21">
        <f t="shared" si="0"/>
        <v>8</v>
      </c>
      <c r="J21" t="str">
        <f t="shared" si="1"/>
        <v>Aug</v>
      </c>
      <c r="K21">
        <f t="shared" si="2"/>
        <v>2</v>
      </c>
      <c r="L21" t="str">
        <f t="shared" si="3"/>
        <v>Mon</v>
      </c>
    </row>
    <row r="22" spans="1:12" x14ac:dyDescent="0.25">
      <c r="A22" s="1">
        <v>45722</v>
      </c>
      <c r="B22" t="s">
        <v>12</v>
      </c>
      <c r="C22" t="s">
        <v>9</v>
      </c>
      <c r="D22" t="s">
        <v>14</v>
      </c>
      <c r="E22" t="s">
        <v>18</v>
      </c>
      <c r="F22">
        <v>6</v>
      </c>
      <c r="G22">
        <v>876.53</v>
      </c>
      <c r="H22">
        <v>5259.18</v>
      </c>
      <c r="I22">
        <f t="shared" si="0"/>
        <v>3</v>
      </c>
      <c r="J22" t="str">
        <f t="shared" si="1"/>
        <v>Mar</v>
      </c>
      <c r="K22">
        <f t="shared" si="2"/>
        <v>5</v>
      </c>
      <c r="L22" t="str">
        <f t="shared" si="3"/>
        <v>Thu</v>
      </c>
    </row>
    <row r="23" spans="1:12" x14ac:dyDescent="0.25">
      <c r="A23" s="1">
        <v>45764</v>
      </c>
      <c r="B23" t="s">
        <v>8</v>
      </c>
      <c r="C23" t="s">
        <v>21</v>
      </c>
      <c r="D23" t="s">
        <v>14</v>
      </c>
      <c r="E23" t="s">
        <v>26</v>
      </c>
      <c r="F23">
        <v>7</v>
      </c>
      <c r="G23">
        <v>1492.92</v>
      </c>
      <c r="H23">
        <v>10450.44</v>
      </c>
      <c r="I23">
        <f t="shared" si="0"/>
        <v>4</v>
      </c>
      <c r="J23" t="str">
        <f t="shared" si="1"/>
        <v>Apr</v>
      </c>
      <c r="K23">
        <f t="shared" si="2"/>
        <v>5</v>
      </c>
      <c r="L23" t="str">
        <f t="shared" si="3"/>
        <v>Thu</v>
      </c>
    </row>
    <row r="24" spans="1:12" x14ac:dyDescent="0.25">
      <c r="A24" s="1">
        <v>45939</v>
      </c>
      <c r="B24" t="s">
        <v>40</v>
      </c>
      <c r="C24" t="s">
        <v>9</v>
      </c>
      <c r="D24" t="s">
        <v>17</v>
      </c>
      <c r="E24" t="s">
        <v>26</v>
      </c>
      <c r="F24">
        <v>7</v>
      </c>
      <c r="G24">
        <v>3993.97</v>
      </c>
      <c r="H24">
        <v>27957.79</v>
      </c>
      <c r="I24">
        <f t="shared" si="0"/>
        <v>10</v>
      </c>
      <c r="J24" t="str">
        <f t="shared" si="1"/>
        <v>Oct</v>
      </c>
      <c r="K24">
        <f t="shared" si="2"/>
        <v>5</v>
      </c>
      <c r="L24" t="str">
        <f t="shared" si="3"/>
        <v>Thu</v>
      </c>
    </row>
    <row r="25" spans="1:12" x14ac:dyDescent="0.25">
      <c r="A25" s="1">
        <v>45793</v>
      </c>
      <c r="B25" t="s">
        <v>24</v>
      </c>
      <c r="C25" t="s">
        <v>9</v>
      </c>
      <c r="D25" t="s">
        <v>10</v>
      </c>
      <c r="E25" t="s">
        <v>26</v>
      </c>
      <c r="F25">
        <v>12</v>
      </c>
      <c r="G25">
        <v>846.48</v>
      </c>
      <c r="H25">
        <v>10157.76</v>
      </c>
      <c r="I25">
        <f t="shared" si="0"/>
        <v>5</v>
      </c>
      <c r="J25" t="str">
        <f t="shared" si="1"/>
        <v>May</v>
      </c>
      <c r="K25">
        <f t="shared" si="2"/>
        <v>6</v>
      </c>
      <c r="L25" t="str">
        <f t="shared" si="3"/>
        <v>Fri</v>
      </c>
    </row>
    <row r="26" spans="1:12" x14ac:dyDescent="0.25">
      <c r="A26" s="1">
        <v>45975</v>
      </c>
      <c r="B26" t="s">
        <v>25</v>
      </c>
      <c r="C26" t="s">
        <v>9</v>
      </c>
      <c r="D26" t="s">
        <v>19</v>
      </c>
      <c r="E26" t="s">
        <v>15</v>
      </c>
      <c r="F26">
        <v>17</v>
      </c>
      <c r="G26">
        <v>2983.22</v>
      </c>
      <c r="H26">
        <v>50714.74</v>
      </c>
      <c r="I26">
        <f t="shared" si="0"/>
        <v>11</v>
      </c>
      <c r="J26" t="str">
        <f t="shared" si="1"/>
        <v>Nov</v>
      </c>
      <c r="K26">
        <f t="shared" si="2"/>
        <v>6</v>
      </c>
      <c r="L26" t="str">
        <f t="shared" si="3"/>
        <v>Fri</v>
      </c>
    </row>
    <row r="27" spans="1:12" x14ac:dyDescent="0.25">
      <c r="A27" s="1">
        <v>45924</v>
      </c>
      <c r="B27" t="s">
        <v>20</v>
      </c>
      <c r="C27" t="s">
        <v>21</v>
      </c>
      <c r="D27" t="s">
        <v>10</v>
      </c>
      <c r="E27" t="s">
        <v>22</v>
      </c>
      <c r="F27">
        <v>5</v>
      </c>
      <c r="G27">
        <v>1306.3599999999999</v>
      </c>
      <c r="H27">
        <v>6531.8</v>
      </c>
      <c r="I27">
        <f t="shared" si="0"/>
        <v>9</v>
      </c>
      <c r="J27" t="str">
        <f t="shared" si="1"/>
        <v>Sep</v>
      </c>
      <c r="K27">
        <f t="shared" si="2"/>
        <v>4</v>
      </c>
      <c r="L27" t="str">
        <f t="shared" si="3"/>
        <v>Wed</v>
      </c>
    </row>
    <row r="28" spans="1:12" x14ac:dyDescent="0.25">
      <c r="A28" s="1">
        <v>45737</v>
      </c>
      <c r="B28" t="s">
        <v>39</v>
      </c>
      <c r="C28" t="s">
        <v>21</v>
      </c>
      <c r="D28" t="s">
        <v>14</v>
      </c>
      <c r="E28" t="s">
        <v>18</v>
      </c>
      <c r="F28">
        <v>5</v>
      </c>
      <c r="G28">
        <v>13605.64</v>
      </c>
      <c r="H28">
        <v>68028.2</v>
      </c>
      <c r="I28">
        <f t="shared" si="0"/>
        <v>3</v>
      </c>
      <c r="J28" t="str">
        <f t="shared" si="1"/>
        <v>Mar</v>
      </c>
      <c r="K28">
        <f t="shared" si="2"/>
        <v>6</v>
      </c>
      <c r="L28" t="str">
        <f t="shared" si="3"/>
        <v>Fri</v>
      </c>
    </row>
    <row r="29" spans="1:12" x14ac:dyDescent="0.25">
      <c r="A29" s="1">
        <v>45782</v>
      </c>
      <c r="B29" t="s">
        <v>16</v>
      </c>
      <c r="C29" t="s">
        <v>9</v>
      </c>
      <c r="D29" t="s">
        <v>19</v>
      </c>
      <c r="E29" t="s">
        <v>26</v>
      </c>
      <c r="F29">
        <v>6</v>
      </c>
      <c r="G29">
        <v>2113.08</v>
      </c>
      <c r="H29">
        <v>12678.48</v>
      </c>
      <c r="I29">
        <f t="shared" si="0"/>
        <v>5</v>
      </c>
      <c r="J29" t="str">
        <f t="shared" si="1"/>
        <v>May</v>
      </c>
      <c r="K29">
        <f t="shared" si="2"/>
        <v>2</v>
      </c>
      <c r="L29" t="str">
        <f t="shared" si="3"/>
        <v>Mon</v>
      </c>
    </row>
    <row r="30" spans="1:12" x14ac:dyDescent="0.25">
      <c r="A30" s="1">
        <v>45980</v>
      </c>
      <c r="B30" t="s">
        <v>20</v>
      </c>
      <c r="C30" t="s">
        <v>13</v>
      </c>
      <c r="D30" t="s">
        <v>19</v>
      </c>
      <c r="E30" t="s">
        <v>26</v>
      </c>
      <c r="F30">
        <v>17</v>
      </c>
      <c r="G30">
        <v>1705.39</v>
      </c>
      <c r="H30">
        <v>28991.63</v>
      </c>
      <c r="I30">
        <f t="shared" si="0"/>
        <v>11</v>
      </c>
      <c r="J30" t="str">
        <f t="shared" si="1"/>
        <v>Nov</v>
      </c>
      <c r="K30">
        <f t="shared" si="2"/>
        <v>4</v>
      </c>
      <c r="L30" t="str">
        <f t="shared" si="3"/>
        <v>Wed</v>
      </c>
    </row>
    <row r="31" spans="1:12" x14ac:dyDescent="0.25">
      <c r="A31" s="1">
        <v>45936</v>
      </c>
      <c r="B31" t="s">
        <v>24</v>
      </c>
      <c r="C31" t="s">
        <v>21</v>
      </c>
      <c r="D31" t="s">
        <v>14</v>
      </c>
      <c r="E31" t="s">
        <v>26</v>
      </c>
      <c r="F31">
        <v>16</v>
      </c>
      <c r="G31">
        <v>1179.01</v>
      </c>
      <c r="H31">
        <v>18864.16</v>
      </c>
      <c r="I31">
        <f t="shared" si="0"/>
        <v>10</v>
      </c>
      <c r="J31" t="str">
        <f t="shared" si="1"/>
        <v>Oct</v>
      </c>
      <c r="K31">
        <f t="shared" si="2"/>
        <v>2</v>
      </c>
      <c r="L31" t="str">
        <f t="shared" si="3"/>
        <v>Mon</v>
      </c>
    </row>
    <row r="32" spans="1:12" x14ac:dyDescent="0.25">
      <c r="A32" s="1">
        <v>45857</v>
      </c>
      <c r="B32" t="s">
        <v>25</v>
      </c>
      <c r="C32" t="s">
        <v>9</v>
      </c>
      <c r="D32" t="s">
        <v>10</v>
      </c>
      <c r="E32" t="s">
        <v>18</v>
      </c>
      <c r="F32">
        <v>4</v>
      </c>
      <c r="G32">
        <v>2484.83</v>
      </c>
      <c r="H32">
        <v>9939.32</v>
      </c>
      <c r="I32">
        <f t="shared" si="0"/>
        <v>7</v>
      </c>
      <c r="J32" t="str">
        <f t="shared" si="1"/>
        <v>Jul</v>
      </c>
      <c r="K32">
        <f t="shared" si="2"/>
        <v>7</v>
      </c>
      <c r="L32" t="str">
        <f t="shared" si="3"/>
        <v>Sat</v>
      </c>
    </row>
    <row r="33" spans="1:12" x14ac:dyDescent="0.25">
      <c r="A33" s="1">
        <v>45803</v>
      </c>
      <c r="B33" t="s">
        <v>8</v>
      </c>
      <c r="C33" t="s">
        <v>13</v>
      </c>
      <c r="D33" t="s">
        <v>19</v>
      </c>
      <c r="E33" t="s">
        <v>15</v>
      </c>
      <c r="F33">
        <v>1</v>
      </c>
      <c r="G33">
        <v>1126.25</v>
      </c>
      <c r="H33">
        <v>1126.25</v>
      </c>
      <c r="I33">
        <f t="shared" si="0"/>
        <v>5</v>
      </c>
      <c r="J33" t="str">
        <f t="shared" si="1"/>
        <v>May</v>
      </c>
      <c r="K33">
        <f t="shared" si="2"/>
        <v>2</v>
      </c>
      <c r="L33" t="str">
        <f t="shared" si="3"/>
        <v>Mon</v>
      </c>
    </row>
    <row r="34" spans="1:12" x14ac:dyDescent="0.25">
      <c r="A34" s="1">
        <v>45696</v>
      </c>
      <c r="B34" t="s">
        <v>16</v>
      </c>
      <c r="C34" t="s">
        <v>9</v>
      </c>
      <c r="D34" t="s">
        <v>10</v>
      </c>
      <c r="E34" t="s">
        <v>18</v>
      </c>
      <c r="F34">
        <v>18</v>
      </c>
      <c r="G34">
        <v>3137.04</v>
      </c>
      <c r="H34">
        <v>56466.720000000001</v>
      </c>
      <c r="I34">
        <f t="shared" si="0"/>
        <v>2</v>
      </c>
      <c r="J34" t="str">
        <f t="shared" si="1"/>
        <v>Feb</v>
      </c>
      <c r="K34">
        <f t="shared" si="2"/>
        <v>7</v>
      </c>
      <c r="L34" t="str">
        <f t="shared" si="3"/>
        <v>Sat</v>
      </c>
    </row>
    <row r="35" spans="1:12" x14ac:dyDescent="0.25">
      <c r="A35" s="1">
        <v>45954</v>
      </c>
      <c r="B35" t="s">
        <v>23</v>
      </c>
      <c r="C35" t="s">
        <v>13</v>
      </c>
      <c r="D35" t="s">
        <v>19</v>
      </c>
      <c r="E35" t="s">
        <v>26</v>
      </c>
      <c r="F35">
        <v>16</v>
      </c>
      <c r="G35">
        <v>826.5</v>
      </c>
      <c r="H35">
        <v>13224</v>
      </c>
      <c r="I35">
        <f t="shared" si="0"/>
        <v>10</v>
      </c>
      <c r="J35" t="str">
        <f t="shared" si="1"/>
        <v>Oct</v>
      </c>
      <c r="K35">
        <f t="shared" si="2"/>
        <v>6</v>
      </c>
      <c r="L35" t="str">
        <f t="shared" si="3"/>
        <v>Fri</v>
      </c>
    </row>
    <row r="36" spans="1:12" x14ac:dyDescent="0.25">
      <c r="A36" s="1">
        <v>45716</v>
      </c>
      <c r="B36" t="s">
        <v>39</v>
      </c>
      <c r="C36" t="s">
        <v>21</v>
      </c>
      <c r="D36" t="s">
        <v>17</v>
      </c>
      <c r="E36" t="s">
        <v>18</v>
      </c>
      <c r="F36">
        <v>5</v>
      </c>
      <c r="G36">
        <v>18603.759999999998</v>
      </c>
      <c r="H36">
        <v>93018.8</v>
      </c>
      <c r="I36">
        <f>MONTH(A36)</f>
        <v>2</v>
      </c>
      <c r="J36" t="str">
        <f t="shared" si="1"/>
        <v>Feb</v>
      </c>
      <c r="K36">
        <f t="shared" si="2"/>
        <v>6</v>
      </c>
      <c r="L36" t="str">
        <f t="shared" si="3"/>
        <v>Fri</v>
      </c>
    </row>
    <row r="37" spans="1:12" x14ac:dyDescent="0.25">
      <c r="A37" s="1">
        <v>45666</v>
      </c>
      <c r="B37" t="s">
        <v>40</v>
      </c>
      <c r="C37" t="s">
        <v>13</v>
      </c>
      <c r="D37" t="s">
        <v>10</v>
      </c>
      <c r="E37" t="s">
        <v>26</v>
      </c>
      <c r="F37">
        <v>1</v>
      </c>
      <c r="G37">
        <v>5426.09</v>
      </c>
      <c r="H37">
        <v>5426.09</v>
      </c>
      <c r="I37">
        <f t="shared" si="0"/>
        <v>1</v>
      </c>
      <c r="J37" t="str">
        <f t="shared" si="1"/>
        <v>Jan</v>
      </c>
      <c r="K37">
        <f t="shared" si="2"/>
        <v>5</v>
      </c>
      <c r="L37" t="str">
        <f t="shared" si="3"/>
        <v>Thu</v>
      </c>
    </row>
    <row r="38" spans="1:12" x14ac:dyDescent="0.25">
      <c r="A38" s="1">
        <v>45731</v>
      </c>
      <c r="B38" t="s">
        <v>39</v>
      </c>
      <c r="C38" t="s">
        <v>21</v>
      </c>
      <c r="D38" t="s">
        <v>19</v>
      </c>
      <c r="E38" t="s">
        <v>27</v>
      </c>
      <c r="F38">
        <v>3</v>
      </c>
      <c r="G38">
        <v>13850.54</v>
      </c>
      <c r="H38">
        <v>41551.620000000003</v>
      </c>
      <c r="I38">
        <f t="shared" si="0"/>
        <v>3</v>
      </c>
      <c r="J38" t="str">
        <f t="shared" si="1"/>
        <v>Mar</v>
      </c>
      <c r="K38">
        <f t="shared" si="2"/>
        <v>7</v>
      </c>
      <c r="L38" t="str">
        <f t="shared" si="3"/>
        <v>Sat</v>
      </c>
    </row>
    <row r="39" spans="1:12" x14ac:dyDescent="0.25">
      <c r="A39" s="1">
        <v>45755</v>
      </c>
      <c r="B39" t="s">
        <v>40</v>
      </c>
      <c r="C39" t="s">
        <v>9</v>
      </c>
      <c r="D39" t="s">
        <v>14</v>
      </c>
      <c r="E39" t="s">
        <v>26</v>
      </c>
      <c r="F39">
        <v>2</v>
      </c>
      <c r="G39">
        <v>5575.69</v>
      </c>
      <c r="H39">
        <v>11151.38</v>
      </c>
      <c r="I39">
        <f t="shared" si="0"/>
        <v>4</v>
      </c>
      <c r="J39" t="str">
        <f t="shared" si="1"/>
        <v>Apr</v>
      </c>
      <c r="K39">
        <f t="shared" si="2"/>
        <v>3</v>
      </c>
      <c r="L39" t="str">
        <f t="shared" si="3"/>
        <v>Tue</v>
      </c>
    </row>
    <row r="40" spans="1:12" x14ac:dyDescent="0.25">
      <c r="A40" s="1">
        <v>45864</v>
      </c>
      <c r="B40" t="s">
        <v>40</v>
      </c>
      <c r="C40" t="s">
        <v>9</v>
      </c>
      <c r="D40" t="s">
        <v>19</v>
      </c>
      <c r="E40" t="s">
        <v>15</v>
      </c>
      <c r="F40">
        <v>14</v>
      </c>
      <c r="G40">
        <v>4476.2</v>
      </c>
      <c r="H40">
        <v>62666.8</v>
      </c>
      <c r="I40">
        <f t="shared" si="0"/>
        <v>7</v>
      </c>
      <c r="J40" t="str">
        <f t="shared" si="1"/>
        <v>Jul</v>
      </c>
      <c r="K40">
        <f t="shared" si="2"/>
        <v>7</v>
      </c>
      <c r="L40" t="str">
        <f t="shared" si="3"/>
        <v>Sat</v>
      </c>
    </row>
    <row r="41" spans="1:12" x14ac:dyDescent="0.25">
      <c r="A41" s="1">
        <v>45791</v>
      </c>
      <c r="B41" t="s">
        <v>23</v>
      </c>
      <c r="C41" t="s">
        <v>9</v>
      </c>
      <c r="D41" t="s">
        <v>19</v>
      </c>
      <c r="E41" t="s">
        <v>15</v>
      </c>
      <c r="F41">
        <v>16</v>
      </c>
      <c r="G41">
        <v>604.96</v>
      </c>
      <c r="H41">
        <v>9679.36</v>
      </c>
      <c r="I41">
        <f t="shared" si="0"/>
        <v>5</v>
      </c>
      <c r="J41" t="str">
        <f t="shared" si="1"/>
        <v>May</v>
      </c>
      <c r="K41">
        <f t="shared" si="2"/>
        <v>4</v>
      </c>
      <c r="L41" t="str">
        <f t="shared" si="3"/>
        <v>Wed</v>
      </c>
    </row>
    <row r="42" spans="1:12" x14ac:dyDescent="0.25">
      <c r="A42" s="1">
        <v>45679</v>
      </c>
      <c r="B42" t="s">
        <v>25</v>
      </c>
      <c r="C42" t="s">
        <v>21</v>
      </c>
      <c r="D42" t="s">
        <v>17</v>
      </c>
      <c r="E42" t="s">
        <v>26</v>
      </c>
      <c r="F42">
        <v>8</v>
      </c>
      <c r="G42">
        <v>3775.39</v>
      </c>
      <c r="H42">
        <v>30203.119999999999</v>
      </c>
      <c r="I42">
        <f t="shared" si="0"/>
        <v>1</v>
      </c>
      <c r="J42" t="str">
        <f t="shared" si="1"/>
        <v>Jan</v>
      </c>
      <c r="K42">
        <f t="shared" si="2"/>
        <v>4</v>
      </c>
      <c r="L42" t="str">
        <f t="shared" si="3"/>
        <v>Wed</v>
      </c>
    </row>
    <row r="43" spans="1:12" x14ac:dyDescent="0.25">
      <c r="A43" s="1">
        <v>45882</v>
      </c>
      <c r="B43" t="s">
        <v>24</v>
      </c>
      <c r="C43" t="s">
        <v>21</v>
      </c>
      <c r="D43" t="s">
        <v>17</v>
      </c>
      <c r="E43" t="s">
        <v>18</v>
      </c>
      <c r="F43">
        <v>15</v>
      </c>
      <c r="G43">
        <v>995.51</v>
      </c>
      <c r="H43">
        <v>14932.65</v>
      </c>
      <c r="I43">
        <f t="shared" si="0"/>
        <v>8</v>
      </c>
      <c r="J43" t="str">
        <f t="shared" si="1"/>
        <v>Aug</v>
      </c>
      <c r="K43">
        <f t="shared" si="2"/>
        <v>4</v>
      </c>
      <c r="L43" t="str">
        <f t="shared" si="3"/>
        <v>Wed</v>
      </c>
    </row>
    <row r="44" spans="1:12" x14ac:dyDescent="0.25">
      <c r="A44" s="1">
        <v>45973</v>
      </c>
      <c r="B44" t="s">
        <v>23</v>
      </c>
      <c r="C44" t="s">
        <v>13</v>
      </c>
      <c r="D44" t="s">
        <v>19</v>
      </c>
      <c r="E44" t="s">
        <v>15</v>
      </c>
      <c r="F44">
        <v>17</v>
      </c>
      <c r="G44">
        <v>1037.3800000000001</v>
      </c>
      <c r="H44">
        <v>17635.46</v>
      </c>
      <c r="I44">
        <f t="shared" si="0"/>
        <v>11</v>
      </c>
      <c r="J44" t="str">
        <f t="shared" si="1"/>
        <v>Nov</v>
      </c>
      <c r="K44">
        <f t="shared" si="2"/>
        <v>4</v>
      </c>
      <c r="L44" t="str">
        <f t="shared" si="3"/>
        <v>Wed</v>
      </c>
    </row>
    <row r="45" spans="1:12" x14ac:dyDescent="0.25">
      <c r="A45" s="1">
        <v>45814</v>
      </c>
      <c r="B45" t="s">
        <v>24</v>
      </c>
      <c r="C45" t="s">
        <v>21</v>
      </c>
      <c r="D45" t="s">
        <v>10</v>
      </c>
      <c r="E45" t="s">
        <v>18</v>
      </c>
      <c r="F45">
        <v>9</v>
      </c>
      <c r="G45">
        <v>1271.8399999999999</v>
      </c>
      <c r="H45">
        <v>11446.56</v>
      </c>
      <c r="I45">
        <f t="shared" si="0"/>
        <v>6</v>
      </c>
      <c r="J45" t="str">
        <f t="shared" si="1"/>
        <v>Jun</v>
      </c>
      <c r="K45">
        <f t="shared" si="2"/>
        <v>6</v>
      </c>
      <c r="L45" t="str">
        <f t="shared" si="3"/>
        <v>Fri</v>
      </c>
    </row>
    <row r="46" spans="1:12" x14ac:dyDescent="0.25">
      <c r="A46" s="1">
        <v>46005</v>
      </c>
      <c r="B46" t="s">
        <v>39</v>
      </c>
      <c r="C46" t="s">
        <v>21</v>
      </c>
      <c r="D46" t="s">
        <v>17</v>
      </c>
      <c r="E46" t="s">
        <v>26</v>
      </c>
      <c r="F46">
        <v>1</v>
      </c>
      <c r="G46">
        <v>11178.12</v>
      </c>
      <c r="H46">
        <v>11178.12</v>
      </c>
      <c r="I46">
        <f t="shared" si="0"/>
        <v>12</v>
      </c>
      <c r="J46" t="str">
        <f t="shared" si="1"/>
        <v>Dec</v>
      </c>
      <c r="K46">
        <f t="shared" si="2"/>
        <v>1</v>
      </c>
      <c r="L46" t="str">
        <f t="shared" si="3"/>
        <v>Sun</v>
      </c>
    </row>
    <row r="47" spans="1:12" x14ac:dyDescent="0.25">
      <c r="A47" s="1">
        <v>45909</v>
      </c>
      <c r="B47" t="s">
        <v>24</v>
      </c>
      <c r="C47" t="s">
        <v>13</v>
      </c>
      <c r="D47" t="s">
        <v>17</v>
      </c>
      <c r="E47" t="s">
        <v>26</v>
      </c>
      <c r="F47">
        <v>18</v>
      </c>
      <c r="G47">
        <v>1034.08</v>
      </c>
      <c r="H47">
        <v>18613.439999999999</v>
      </c>
      <c r="I47">
        <f t="shared" si="0"/>
        <v>9</v>
      </c>
      <c r="J47" t="str">
        <f t="shared" si="1"/>
        <v>Sep</v>
      </c>
      <c r="K47">
        <f t="shared" si="2"/>
        <v>3</v>
      </c>
      <c r="L47" t="str">
        <f t="shared" si="3"/>
        <v>Tue</v>
      </c>
    </row>
    <row r="48" spans="1:12" x14ac:dyDescent="0.25">
      <c r="A48" s="1">
        <v>45879</v>
      </c>
      <c r="B48" t="s">
        <v>25</v>
      </c>
      <c r="C48" t="s">
        <v>21</v>
      </c>
      <c r="D48" t="s">
        <v>10</v>
      </c>
      <c r="E48" t="s">
        <v>26</v>
      </c>
      <c r="F48">
        <v>15</v>
      </c>
      <c r="G48">
        <v>4529.1099999999997</v>
      </c>
      <c r="H48">
        <v>67936.649999999994</v>
      </c>
      <c r="I48">
        <f t="shared" si="0"/>
        <v>8</v>
      </c>
      <c r="J48" t="str">
        <f t="shared" si="1"/>
        <v>Aug</v>
      </c>
      <c r="K48">
        <f t="shared" si="2"/>
        <v>1</v>
      </c>
      <c r="L48" t="str">
        <f t="shared" si="3"/>
        <v>Sun</v>
      </c>
    </row>
    <row r="49" spans="1:12" x14ac:dyDescent="0.25">
      <c r="A49" s="1">
        <v>45783</v>
      </c>
      <c r="B49" t="s">
        <v>12</v>
      </c>
      <c r="C49" t="s">
        <v>21</v>
      </c>
      <c r="D49" t="s">
        <v>14</v>
      </c>
      <c r="E49" t="s">
        <v>18</v>
      </c>
      <c r="F49">
        <v>8</v>
      </c>
      <c r="G49">
        <v>1006.39</v>
      </c>
      <c r="H49">
        <v>8051.12</v>
      </c>
      <c r="I49">
        <f t="shared" si="0"/>
        <v>5</v>
      </c>
      <c r="J49" t="str">
        <f t="shared" si="1"/>
        <v>May</v>
      </c>
      <c r="K49">
        <f t="shared" si="2"/>
        <v>3</v>
      </c>
      <c r="L49" t="str">
        <f t="shared" si="3"/>
        <v>Tue</v>
      </c>
    </row>
    <row r="50" spans="1:12" x14ac:dyDescent="0.25">
      <c r="A50" s="1">
        <v>45955</v>
      </c>
      <c r="B50" t="s">
        <v>25</v>
      </c>
      <c r="C50" t="s">
        <v>13</v>
      </c>
      <c r="D50" t="s">
        <v>17</v>
      </c>
      <c r="E50" t="s">
        <v>26</v>
      </c>
      <c r="F50">
        <v>3</v>
      </c>
      <c r="G50">
        <v>2988.03</v>
      </c>
      <c r="H50">
        <v>8964.09</v>
      </c>
      <c r="I50">
        <f t="shared" si="0"/>
        <v>10</v>
      </c>
      <c r="J50" t="str">
        <f t="shared" si="1"/>
        <v>Oct</v>
      </c>
      <c r="K50">
        <f t="shared" si="2"/>
        <v>7</v>
      </c>
      <c r="L50" t="str">
        <f t="shared" si="3"/>
        <v>Sat</v>
      </c>
    </row>
    <row r="51" spans="1:12" x14ac:dyDescent="0.25">
      <c r="A51" s="1">
        <v>45670</v>
      </c>
      <c r="B51" t="s">
        <v>12</v>
      </c>
      <c r="C51" t="s">
        <v>13</v>
      </c>
      <c r="D51" t="s">
        <v>17</v>
      </c>
      <c r="E51" t="s">
        <v>18</v>
      </c>
      <c r="F51">
        <v>13</v>
      </c>
      <c r="G51">
        <v>734.91</v>
      </c>
      <c r="H51">
        <v>9553.83</v>
      </c>
      <c r="I51">
        <f t="shared" si="0"/>
        <v>1</v>
      </c>
      <c r="J51" t="str">
        <f t="shared" si="1"/>
        <v>Jan</v>
      </c>
      <c r="K51">
        <f t="shared" si="2"/>
        <v>2</v>
      </c>
      <c r="L51" t="str">
        <f t="shared" si="3"/>
        <v>Mon</v>
      </c>
    </row>
    <row r="52" spans="1:12" x14ac:dyDescent="0.25">
      <c r="A52" s="1">
        <v>45920</v>
      </c>
      <c r="B52" t="s">
        <v>23</v>
      </c>
      <c r="C52" t="s">
        <v>13</v>
      </c>
      <c r="D52" t="s">
        <v>10</v>
      </c>
      <c r="E52" t="s">
        <v>18</v>
      </c>
      <c r="F52">
        <v>2</v>
      </c>
      <c r="G52">
        <v>605.11</v>
      </c>
      <c r="H52">
        <v>1210.22</v>
      </c>
      <c r="I52">
        <f t="shared" si="0"/>
        <v>9</v>
      </c>
      <c r="J52" t="str">
        <f t="shared" si="1"/>
        <v>Sep</v>
      </c>
      <c r="K52">
        <f t="shared" si="2"/>
        <v>7</v>
      </c>
      <c r="L52" t="str">
        <f t="shared" si="3"/>
        <v>Sat</v>
      </c>
    </row>
    <row r="53" spans="1:12" x14ac:dyDescent="0.25">
      <c r="A53" s="1">
        <v>45871</v>
      </c>
      <c r="B53" t="s">
        <v>25</v>
      </c>
      <c r="C53" t="s">
        <v>13</v>
      </c>
      <c r="D53" t="s">
        <v>17</v>
      </c>
      <c r="E53" t="s">
        <v>26</v>
      </c>
      <c r="F53">
        <v>17</v>
      </c>
      <c r="G53">
        <v>2528.4299999999998</v>
      </c>
      <c r="H53">
        <v>42983.31</v>
      </c>
      <c r="I53">
        <f t="shared" si="0"/>
        <v>8</v>
      </c>
      <c r="J53" t="str">
        <f t="shared" si="1"/>
        <v>Aug</v>
      </c>
      <c r="K53">
        <f t="shared" si="2"/>
        <v>7</v>
      </c>
      <c r="L53" t="str">
        <f t="shared" si="3"/>
        <v>Sat</v>
      </c>
    </row>
    <row r="54" spans="1:12" x14ac:dyDescent="0.25">
      <c r="A54" s="1">
        <v>45982</v>
      </c>
      <c r="B54" t="s">
        <v>25</v>
      </c>
      <c r="C54" t="s">
        <v>13</v>
      </c>
      <c r="D54" t="s">
        <v>19</v>
      </c>
      <c r="E54" t="s">
        <v>15</v>
      </c>
      <c r="F54">
        <v>1</v>
      </c>
      <c r="G54">
        <v>4188.5200000000004</v>
      </c>
      <c r="H54">
        <v>4188.5200000000004</v>
      </c>
      <c r="I54">
        <f t="shared" si="0"/>
        <v>11</v>
      </c>
      <c r="J54" t="str">
        <f t="shared" si="1"/>
        <v>Nov</v>
      </c>
      <c r="K54">
        <f t="shared" si="2"/>
        <v>6</v>
      </c>
      <c r="L54" t="str">
        <f t="shared" si="3"/>
        <v>Fri</v>
      </c>
    </row>
    <row r="55" spans="1:12" x14ac:dyDescent="0.25">
      <c r="A55" s="1">
        <v>45716</v>
      </c>
      <c r="B55" t="s">
        <v>24</v>
      </c>
      <c r="C55" t="s">
        <v>13</v>
      </c>
      <c r="D55" t="s">
        <v>19</v>
      </c>
      <c r="E55" t="s">
        <v>15</v>
      </c>
      <c r="F55">
        <v>15</v>
      </c>
      <c r="G55">
        <v>1119.71</v>
      </c>
      <c r="H55">
        <v>16795.650000000001</v>
      </c>
      <c r="I55">
        <f t="shared" si="0"/>
        <v>2</v>
      </c>
      <c r="J55" t="str">
        <f t="shared" si="1"/>
        <v>Feb</v>
      </c>
      <c r="K55">
        <f t="shared" si="2"/>
        <v>6</v>
      </c>
      <c r="L55" t="str">
        <f t="shared" si="3"/>
        <v>Fri</v>
      </c>
    </row>
    <row r="56" spans="1:12" x14ac:dyDescent="0.25">
      <c r="A56" s="1">
        <v>45933</v>
      </c>
      <c r="B56" t="s">
        <v>16</v>
      </c>
      <c r="C56" t="s">
        <v>21</v>
      </c>
      <c r="D56" t="s">
        <v>14</v>
      </c>
      <c r="E56" t="s">
        <v>26</v>
      </c>
      <c r="F56">
        <v>17</v>
      </c>
      <c r="G56">
        <v>2348.23</v>
      </c>
      <c r="H56">
        <v>39919.910000000003</v>
      </c>
      <c r="I56">
        <f t="shared" si="0"/>
        <v>10</v>
      </c>
      <c r="J56" t="str">
        <f t="shared" si="1"/>
        <v>Oct</v>
      </c>
      <c r="K56">
        <f t="shared" si="2"/>
        <v>6</v>
      </c>
      <c r="L56" t="str">
        <f t="shared" si="3"/>
        <v>Fri</v>
      </c>
    </row>
    <row r="57" spans="1:12" x14ac:dyDescent="0.25">
      <c r="A57" s="1">
        <v>45931</v>
      </c>
      <c r="B57" t="s">
        <v>12</v>
      </c>
      <c r="C57" t="s">
        <v>13</v>
      </c>
      <c r="D57" t="s">
        <v>14</v>
      </c>
      <c r="E57" t="s">
        <v>15</v>
      </c>
      <c r="F57">
        <v>9</v>
      </c>
      <c r="G57">
        <v>1001.79</v>
      </c>
      <c r="H57">
        <v>9016.11</v>
      </c>
      <c r="I57">
        <f t="shared" si="0"/>
        <v>10</v>
      </c>
      <c r="J57" t="str">
        <f t="shared" si="1"/>
        <v>Oct</v>
      </c>
      <c r="K57">
        <f t="shared" si="2"/>
        <v>4</v>
      </c>
      <c r="L57" t="str">
        <f t="shared" si="3"/>
        <v>Wed</v>
      </c>
    </row>
    <row r="58" spans="1:12" x14ac:dyDescent="0.25">
      <c r="A58" s="1">
        <v>45785</v>
      </c>
      <c r="B58" t="s">
        <v>12</v>
      </c>
      <c r="C58" t="s">
        <v>21</v>
      </c>
      <c r="D58" t="s">
        <v>17</v>
      </c>
      <c r="E58" t="s">
        <v>26</v>
      </c>
      <c r="F58">
        <v>16</v>
      </c>
      <c r="G58">
        <v>728.75</v>
      </c>
      <c r="H58">
        <v>11660</v>
      </c>
      <c r="I58">
        <f t="shared" si="0"/>
        <v>5</v>
      </c>
      <c r="J58" t="str">
        <f t="shared" si="1"/>
        <v>May</v>
      </c>
      <c r="K58">
        <f t="shared" si="2"/>
        <v>5</v>
      </c>
      <c r="L58" t="str">
        <f t="shared" si="3"/>
        <v>Thu</v>
      </c>
    </row>
    <row r="59" spans="1:12" x14ac:dyDescent="0.25">
      <c r="A59" s="1">
        <v>45893</v>
      </c>
      <c r="B59" t="s">
        <v>24</v>
      </c>
      <c r="C59" t="s">
        <v>9</v>
      </c>
      <c r="D59" t="s">
        <v>19</v>
      </c>
      <c r="E59" t="s">
        <v>15</v>
      </c>
      <c r="F59">
        <v>7</v>
      </c>
      <c r="G59">
        <v>1094.27</v>
      </c>
      <c r="H59">
        <v>7659.89</v>
      </c>
      <c r="I59">
        <f t="shared" si="0"/>
        <v>8</v>
      </c>
      <c r="J59" t="str">
        <f t="shared" si="1"/>
        <v>Aug</v>
      </c>
      <c r="K59">
        <f t="shared" si="2"/>
        <v>1</v>
      </c>
      <c r="L59" t="str">
        <f t="shared" si="3"/>
        <v>Sun</v>
      </c>
    </row>
    <row r="60" spans="1:12" x14ac:dyDescent="0.25">
      <c r="A60" s="1">
        <v>45725</v>
      </c>
      <c r="B60" t="s">
        <v>25</v>
      </c>
      <c r="C60" t="s">
        <v>9</v>
      </c>
      <c r="D60" t="s">
        <v>10</v>
      </c>
      <c r="E60" t="s">
        <v>26</v>
      </c>
      <c r="F60">
        <v>12</v>
      </c>
      <c r="G60">
        <v>3638.68</v>
      </c>
      <c r="H60">
        <v>43664.160000000003</v>
      </c>
      <c r="I60">
        <f t="shared" si="0"/>
        <v>3</v>
      </c>
      <c r="J60" t="str">
        <f t="shared" si="1"/>
        <v>Mar</v>
      </c>
      <c r="K60">
        <f t="shared" si="2"/>
        <v>1</v>
      </c>
      <c r="L60" t="str">
        <f t="shared" si="3"/>
        <v>Sun</v>
      </c>
    </row>
    <row r="61" spans="1:12" x14ac:dyDescent="0.25">
      <c r="A61" s="1">
        <v>45742</v>
      </c>
      <c r="B61" t="s">
        <v>40</v>
      </c>
      <c r="C61" t="s">
        <v>9</v>
      </c>
      <c r="D61" t="s">
        <v>14</v>
      </c>
      <c r="E61" t="s">
        <v>18</v>
      </c>
      <c r="F61">
        <v>5</v>
      </c>
      <c r="G61">
        <v>3782.47</v>
      </c>
      <c r="H61">
        <v>18912.349999999999</v>
      </c>
      <c r="I61">
        <f t="shared" si="0"/>
        <v>3</v>
      </c>
      <c r="J61" t="str">
        <f t="shared" si="1"/>
        <v>Mar</v>
      </c>
      <c r="K61">
        <f t="shared" si="2"/>
        <v>4</v>
      </c>
      <c r="L61" t="str">
        <f t="shared" si="3"/>
        <v>Wed</v>
      </c>
    </row>
    <row r="62" spans="1:12" x14ac:dyDescent="0.25">
      <c r="A62" s="1">
        <v>45750</v>
      </c>
      <c r="B62" t="s">
        <v>8</v>
      </c>
      <c r="C62" t="s">
        <v>9</v>
      </c>
      <c r="D62" t="s">
        <v>19</v>
      </c>
      <c r="E62" t="s">
        <v>26</v>
      </c>
      <c r="F62">
        <v>16</v>
      </c>
      <c r="G62">
        <v>1420.98</v>
      </c>
      <c r="H62">
        <v>22735.68</v>
      </c>
      <c r="I62">
        <f t="shared" si="0"/>
        <v>4</v>
      </c>
      <c r="J62" t="str">
        <f t="shared" si="1"/>
        <v>Apr</v>
      </c>
      <c r="K62">
        <f t="shared" si="2"/>
        <v>5</v>
      </c>
      <c r="L62" t="str">
        <f t="shared" si="3"/>
        <v>Thu</v>
      </c>
    </row>
    <row r="63" spans="1:12" x14ac:dyDescent="0.25">
      <c r="A63" s="1">
        <v>45756</v>
      </c>
      <c r="B63" t="s">
        <v>39</v>
      </c>
      <c r="C63" t="s">
        <v>21</v>
      </c>
      <c r="D63" t="s">
        <v>14</v>
      </c>
      <c r="E63" t="s">
        <v>15</v>
      </c>
      <c r="F63">
        <v>10</v>
      </c>
      <c r="G63">
        <v>19042.310000000001</v>
      </c>
      <c r="H63">
        <v>190423.1</v>
      </c>
      <c r="I63">
        <f t="shared" si="0"/>
        <v>4</v>
      </c>
      <c r="J63" t="str">
        <f t="shared" si="1"/>
        <v>Apr</v>
      </c>
      <c r="K63">
        <f t="shared" si="2"/>
        <v>4</v>
      </c>
      <c r="L63" t="str">
        <f t="shared" si="3"/>
        <v>Wed</v>
      </c>
    </row>
    <row r="64" spans="1:12" x14ac:dyDescent="0.25">
      <c r="A64" s="1">
        <v>45756</v>
      </c>
      <c r="B64" t="s">
        <v>16</v>
      </c>
      <c r="C64" t="s">
        <v>13</v>
      </c>
      <c r="D64" t="s">
        <v>14</v>
      </c>
      <c r="E64" t="s">
        <v>26</v>
      </c>
      <c r="F64">
        <v>19</v>
      </c>
      <c r="G64">
        <v>2504.6999999999998</v>
      </c>
      <c r="H64">
        <v>47589.3</v>
      </c>
      <c r="I64">
        <f t="shared" si="0"/>
        <v>4</v>
      </c>
      <c r="J64" t="str">
        <f t="shared" si="1"/>
        <v>Apr</v>
      </c>
      <c r="K64">
        <f t="shared" si="2"/>
        <v>4</v>
      </c>
      <c r="L64" t="str">
        <f t="shared" si="3"/>
        <v>Wed</v>
      </c>
    </row>
    <row r="65" spans="1:12" x14ac:dyDescent="0.25">
      <c r="A65" s="1">
        <v>45913</v>
      </c>
      <c r="B65" t="s">
        <v>41</v>
      </c>
      <c r="C65" t="s">
        <v>9</v>
      </c>
      <c r="D65" t="s">
        <v>17</v>
      </c>
      <c r="E65" t="s">
        <v>18</v>
      </c>
      <c r="F65">
        <v>16</v>
      </c>
      <c r="G65">
        <v>445.4</v>
      </c>
      <c r="H65">
        <v>7126.4</v>
      </c>
      <c r="I65">
        <f t="shared" si="0"/>
        <v>9</v>
      </c>
      <c r="J65" t="str">
        <f t="shared" si="1"/>
        <v>Sep</v>
      </c>
      <c r="K65">
        <f t="shared" si="2"/>
        <v>7</v>
      </c>
      <c r="L65" t="str">
        <f t="shared" si="3"/>
        <v>Sat</v>
      </c>
    </row>
    <row r="66" spans="1:12" x14ac:dyDescent="0.25">
      <c r="A66" s="1">
        <v>45903</v>
      </c>
      <c r="B66" t="s">
        <v>16</v>
      </c>
      <c r="C66" t="s">
        <v>9</v>
      </c>
      <c r="D66" t="s">
        <v>19</v>
      </c>
      <c r="E66" t="s">
        <v>15</v>
      </c>
      <c r="F66">
        <v>12</v>
      </c>
      <c r="G66">
        <v>2332.25</v>
      </c>
      <c r="H66">
        <v>27987</v>
      </c>
      <c r="I66">
        <f t="shared" ref="I66:I129" si="4">MONTH(A66)</f>
        <v>9</v>
      </c>
      <c r="J66" t="str">
        <f t="shared" ref="J66:J129" si="5">TEXT(A66,"MMM")</f>
        <v>Sep</v>
      </c>
      <c r="K66">
        <f t="shared" ref="K66:K129" si="6">WEEKDAY(A66,1)</f>
        <v>4</v>
      </c>
      <c r="L66" t="str">
        <f t="shared" ref="L66:L129" si="7">TEXT(K66,"DDD")</f>
        <v>Wed</v>
      </c>
    </row>
    <row r="67" spans="1:12" x14ac:dyDescent="0.25">
      <c r="A67" s="1">
        <v>45690</v>
      </c>
      <c r="B67" t="s">
        <v>39</v>
      </c>
      <c r="C67" t="s">
        <v>9</v>
      </c>
      <c r="D67" t="s">
        <v>10</v>
      </c>
      <c r="E67" t="s">
        <v>26</v>
      </c>
      <c r="F67">
        <v>5</v>
      </c>
      <c r="G67">
        <v>16133.46</v>
      </c>
      <c r="H67">
        <v>80667.3</v>
      </c>
      <c r="I67">
        <f t="shared" si="4"/>
        <v>2</v>
      </c>
      <c r="J67" t="str">
        <f t="shared" si="5"/>
        <v>Feb</v>
      </c>
      <c r="K67">
        <f t="shared" si="6"/>
        <v>1</v>
      </c>
      <c r="L67" t="str">
        <f t="shared" si="7"/>
        <v>Sun</v>
      </c>
    </row>
    <row r="68" spans="1:12" x14ac:dyDescent="0.25">
      <c r="A68" s="1">
        <v>45721</v>
      </c>
      <c r="B68" t="s">
        <v>39</v>
      </c>
      <c r="C68" t="s">
        <v>21</v>
      </c>
      <c r="D68" t="s">
        <v>10</v>
      </c>
      <c r="E68" t="s">
        <v>18</v>
      </c>
      <c r="F68">
        <v>13</v>
      </c>
      <c r="G68">
        <v>12431.3</v>
      </c>
      <c r="H68">
        <v>161606.9</v>
      </c>
      <c r="I68">
        <f t="shared" si="4"/>
        <v>3</v>
      </c>
      <c r="J68" t="str">
        <f t="shared" si="5"/>
        <v>Mar</v>
      </c>
      <c r="K68">
        <f t="shared" si="6"/>
        <v>4</v>
      </c>
      <c r="L68" t="str">
        <f t="shared" si="7"/>
        <v>Wed</v>
      </c>
    </row>
    <row r="69" spans="1:12" x14ac:dyDescent="0.25">
      <c r="A69" s="1">
        <v>45958</v>
      </c>
      <c r="B69" t="s">
        <v>16</v>
      </c>
      <c r="C69" t="s">
        <v>9</v>
      </c>
      <c r="D69" t="s">
        <v>10</v>
      </c>
      <c r="E69" t="s">
        <v>26</v>
      </c>
      <c r="F69">
        <v>3</v>
      </c>
      <c r="G69">
        <v>2254.83</v>
      </c>
      <c r="H69">
        <v>6764.49</v>
      </c>
      <c r="I69">
        <f t="shared" si="4"/>
        <v>10</v>
      </c>
      <c r="J69" t="str">
        <f t="shared" si="5"/>
        <v>Oct</v>
      </c>
      <c r="K69">
        <f t="shared" si="6"/>
        <v>3</v>
      </c>
      <c r="L69" t="str">
        <f t="shared" si="7"/>
        <v>Tue</v>
      </c>
    </row>
    <row r="70" spans="1:12" x14ac:dyDescent="0.25">
      <c r="A70" s="1">
        <v>45746</v>
      </c>
      <c r="B70" t="s">
        <v>41</v>
      </c>
      <c r="C70" t="s">
        <v>9</v>
      </c>
      <c r="D70" t="s">
        <v>14</v>
      </c>
      <c r="E70" t="s">
        <v>26</v>
      </c>
      <c r="F70">
        <v>2</v>
      </c>
      <c r="G70">
        <v>513.85</v>
      </c>
      <c r="H70">
        <v>1027.7</v>
      </c>
      <c r="I70">
        <f t="shared" si="4"/>
        <v>3</v>
      </c>
      <c r="J70" t="str">
        <f t="shared" si="5"/>
        <v>Mar</v>
      </c>
      <c r="K70">
        <f t="shared" si="6"/>
        <v>1</v>
      </c>
      <c r="L70" t="str">
        <f t="shared" si="7"/>
        <v>Sun</v>
      </c>
    </row>
    <row r="71" spans="1:12" x14ac:dyDescent="0.25">
      <c r="A71" s="1">
        <v>45852</v>
      </c>
      <c r="B71" t="s">
        <v>12</v>
      </c>
      <c r="C71" t="s">
        <v>9</v>
      </c>
      <c r="D71" t="s">
        <v>14</v>
      </c>
      <c r="E71" t="s">
        <v>15</v>
      </c>
      <c r="F71">
        <v>11</v>
      </c>
      <c r="G71">
        <v>1103.83</v>
      </c>
      <c r="H71">
        <v>12142.13</v>
      </c>
      <c r="I71">
        <f t="shared" si="4"/>
        <v>7</v>
      </c>
      <c r="J71" t="str">
        <f t="shared" si="5"/>
        <v>Jul</v>
      </c>
      <c r="K71">
        <f t="shared" si="6"/>
        <v>2</v>
      </c>
      <c r="L71" t="str">
        <f t="shared" si="7"/>
        <v>Mon</v>
      </c>
    </row>
    <row r="72" spans="1:12" x14ac:dyDescent="0.25">
      <c r="A72" s="1">
        <v>45873</v>
      </c>
      <c r="B72" t="s">
        <v>24</v>
      </c>
      <c r="C72" t="s">
        <v>9</v>
      </c>
      <c r="D72" t="s">
        <v>17</v>
      </c>
      <c r="E72" t="s">
        <v>18</v>
      </c>
      <c r="F72">
        <v>10</v>
      </c>
      <c r="G72">
        <v>954.08</v>
      </c>
      <c r="H72">
        <v>9540.7999999999993</v>
      </c>
      <c r="I72">
        <f t="shared" si="4"/>
        <v>8</v>
      </c>
      <c r="J72" t="str">
        <f t="shared" si="5"/>
        <v>Aug</v>
      </c>
      <c r="K72">
        <f t="shared" si="6"/>
        <v>2</v>
      </c>
      <c r="L72" t="str">
        <f t="shared" si="7"/>
        <v>Mon</v>
      </c>
    </row>
    <row r="73" spans="1:12" x14ac:dyDescent="0.25">
      <c r="A73" s="1">
        <v>45848</v>
      </c>
      <c r="B73" t="s">
        <v>23</v>
      </c>
      <c r="C73" t="s">
        <v>9</v>
      </c>
      <c r="D73" t="s">
        <v>10</v>
      </c>
      <c r="E73" t="s">
        <v>18</v>
      </c>
      <c r="F73">
        <v>18</v>
      </c>
      <c r="G73">
        <v>680.01</v>
      </c>
      <c r="H73">
        <v>12240.18</v>
      </c>
      <c r="I73">
        <f t="shared" si="4"/>
        <v>7</v>
      </c>
      <c r="J73" t="str">
        <f t="shared" si="5"/>
        <v>Jul</v>
      </c>
      <c r="K73">
        <f t="shared" si="6"/>
        <v>5</v>
      </c>
      <c r="L73" t="str">
        <f t="shared" si="7"/>
        <v>Thu</v>
      </c>
    </row>
    <row r="74" spans="1:12" x14ac:dyDescent="0.25">
      <c r="A74" s="1">
        <v>45752</v>
      </c>
      <c r="B74" t="s">
        <v>41</v>
      </c>
      <c r="C74" t="s">
        <v>13</v>
      </c>
      <c r="D74" t="s">
        <v>14</v>
      </c>
      <c r="E74" t="s">
        <v>15</v>
      </c>
      <c r="F74">
        <v>12</v>
      </c>
      <c r="G74">
        <v>574.44000000000005</v>
      </c>
      <c r="H74">
        <v>6893.28</v>
      </c>
      <c r="I74">
        <f t="shared" si="4"/>
        <v>4</v>
      </c>
      <c r="J74" t="str">
        <f t="shared" si="5"/>
        <v>Apr</v>
      </c>
      <c r="K74">
        <f t="shared" si="6"/>
        <v>7</v>
      </c>
      <c r="L74" t="str">
        <f t="shared" si="7"/>
        <v>Sat</v>
      </c>
    </row>
    <row r="75" spans="1:12" x14ac:dyDescent="0.25">
      <c r="A75" s="1">
        <v>45674</v>
      </c>
      <c r="B75" t="s">
        <v>20</v>
      </c>
      <c r="C75" t="s">
        <v>9</v>
      </c>
      <c r="D75" t="s">
        <v>10</v>
      </c>
      <c r="E75" t="s">
        <v>22</v>
      </c>
      <c r="F75">
        <v>17</v>
      </c>
      <c r="G75">
        <v>1530.89</v>
      </c>
      <c r="H75">
        <v>26025.13</v>
      </c>
      <c r="I75">
        <f t="shared" si="4"/>
        <v>1</v>
      </c>
      <c r="J75" t="str">
        <f t="shared" si="5"/>
        <v>Jan</v>
      </c>
      <c r="K75">
        <f t="shared" si="6"/>
        <v>6</v>
      </c>
      <c r="L75" t="str">
        <f t="shared" si="7"/>
        <v>Fri</v>
      </c>
    </row>
    <row r="76" spans="1:12" x14ac:dyDescent="0.25">
      <c r="A76" s="1">
        <v>45744</v>
      </c>
      <c r="B76" t="s">
        <v>40</v>
      </c>
      <c r="C76" t="s">
        <v>21</v>
      </c>
      <c r="D76" t="s">
        <v>17</v>
      </c>
      <c r="E76" t="s">
        <v>26</v>
      </c>
      <c r="F76">
        <v>19</v>
      </c>
      <c r="G76">
        <v>4667.6099999999997</v>
      </c>
      <c r="H76">
        <v>88684.59</v>
      </c>
      <c r="I76">
        <f t="shared" si="4"/>
        <v>3</v>
      </c>
      <c r="J76" t="str">
        <f t="shared" si="5"/>
        <v>Mar</v>
      </c>
      <c r="K76">
        <f t="shared" si="6"/>
        <v>6</v>
      </c>
      <c r="L76" t="str">
        <f t="shared" si="7"/>
        <v>Fri</v>
      </c>
    </row>
    <row r="77" spans="1:12" x14ac:dyDescent="0.25">
      <c r="A77" s="1">
        <v>45889</v>
      </c>
      <c r="B77" t="s">
        <v>23</v>
      </c>
      <c r="C77" t="s">
        <v>9</v>
      </c>
      <c r="D77" t="s">
        <v>10</v>
      </c>
      <c r="E77" t="s">
        <v>18</v>
      </c>
      <c r="F77">
        <v>14</v>
      </c>
      <c r="G77">
        <v>884.85</v>
      </c>
      <c r="H77">
        <v>12387.9</v>
      </c>
      <c r="I77">
        <f t="shared" si="4"/>
        <v>8</v>
      </c>
      <c r="J77" t="str">
        <f t="shared" si="5"/>
        <v>Aug</v>
      </c>
      <c r="K77">
        <f t="shared" si="6"/>
        <v>4</v>
      </c>
      <c r="L77" t="str">
        <f t="shared" si="7"/>
        <v>Wed</v>
      </c>
    </row>
    <row r="78" spans="1:12" x14ac:dyDescent="0.25">
      <c r="A78" s="1">
        <v>45709</v>
      </c>
      <c r="B78" t="s">
        <v>23</v>
      </c>
      <c r="C78" t="s">
        <v>21</v>
      </c>
      <c r="D78" t="s">
        <v>10</v>
      </c>
      <c r="E78" t="s">
        <v>22</v>
      </c>
      <c r="F78">
        <v>5</v>
      </c>
      <c r="G78">
        <v>700.74</v>
      </c>
      <c r="H78">
        <v>3503.7</v>
      </c>
      <c r="I78">
        <f t="shared" si="4"/>
        <v>2</v>
      </c>
      <c r="J78" t="str">
        <f t="shared" si="5"/>
        <v>Feb</v>
      </c>
      <c r="K78">
        <f t="shared" si="6"/>
        <v>6</v>
      </c>
      <c r="L78" t="str">
        <f t="shared" si="7"/>
        <v>Fri</v>
      </c>
    </row>
    <row r="79" spans="1:12" x14ac:dyDescent="0.25">
      <c r="A79" s="1">
        <v>45682</v>
      </c>
      <c r="B79" t="s">
        <v>8</v>
      </c>
      <c r="C79" t="s">
        <v>13</v>
      </c>
      <c r="D79" t="s">
        <v>17</v>
      </c>
      <c r="E79" t="s">
        <v>18</v>
      </c>
      <c r="F79">
        <v>16</v>
      </c>
      <c r="G79">
        <v>1408.53</v>
      </c>
      <c r="H79">
        <v>22536.48</v>
      </c>
      <c r="I79">
        <f t="shared" si="4"/>
        <v>1</v>
      </c>
      <c r="J79" t="str">
        <f t="shared" si="5"/>
        <v>Jan</v>
      </c>
      <c r="K79">
        <f t="shared" si="6"/>
        <v>7</v>
      </c>
      <c r="L79" t="str">
        <f t="shared" si="7"/>
        <v>Sat</v>
      </c>
    </row>
    <row r="80" spans="1:12" x14ac:dyDescent="0.25">
      <c r="A80" s="1">
        <v>45765</v>
      </c>
      <c r="B80" t="s">
        <v>24</v>
      </c>
      <c r="C80" t="s">
        <v>21</v>
      </c>
      <c r="D80" t="s">
        <v>14</v>
      </c>
      <c r="E80" t="s">
        <v>26</v>
      </c>
      <c r="F80">
        <v>5</v>
      </c>
      <c r="G80">
        <v>1142.22</v>
      </c>
      <c r="H80">
        <v>5711.1</v>
      </c>
      <c r="I80">
        <f t="shared" si="4"/>
        <v>4</v>
      </c>
      <c r="J80" t="str">
        <f t="shared" si="5"/>
        <v>Apr</v>
      </c>
      <c r="K80">
        <f t="shared" si="6"/>
        <v>6</v>
      </c>
      <c r="L80" t="str">
        <f t="shared" si="7"/>
        <v>Fri</v>
      </c>
    </row>
    <row r="81" spans="1:12" x14ac:dyDescent="0.25">
      <c r="A81" s="1">
        <v>45877</v>
      </c>
      <c r="B81" t="s">
        <v>16</v>
      </c>
      <c r="C81" t="s">
        <v>13</v>
      </c>
      <c r="D81" t="s">
        <v>19</v>
      </c>
      <c r="E81" t="s">
        <v>15</v>
      </c>
      <c r="F81">
        <v>10</v>
      </c>
      <c r="G81">
        <v>3005.45</v>
      </c>
      <c r="H81">
        <v>30054.5</v>
      </c>
      <c r="I81">
        <f t="shared" si="4"/>
        <v>8</v>
      </c>
      <c r="J81" t="str">
        <f t="shared" si="5"/>
        <v>Aug</v>
      </c>
      <c r="K81">
        <f t="shared" si="6"/>
        <v>6</v>
      </c>
      <c r="L81" t="str">
        <f t="shared" si="7"/>
        <v>Fri</v>
      </c>
    </row>
    <row r="82" spans="1:12" x14ac:dyDescent="0.25">
      <c r="A82" s="1">
        <v>45909</v>
      </c>
      <c r="B82" t="s">
        <v>25</v>
      </c>
      <c r="C82" t="s">
        <v>13</v>
      </c>
      <c r="D82" t="s">
        <v>14</v>
      </c>
      <c r="E82" t="s">
        <v>15</v>
      </c>
      <c r="F82">
        <v>8</v>
      </c>
      <c r="G82">
        <v>2602.8000000000002</v>
      </c>
      <c r="H82">
        <v>20822.400000000001</v>
      </c>
      <c r="I82">
        <f t="shared" si="4"/>
        <v>9</v>
      </c>
      <c r="J82" t="str">
        <f t="shared" si="5"/>
        <v>Sep</v>
      </c>
      <c r="K82">
        <f t="shared" si="6"/>
        <v>3</v>
      </c>
      <c r="L82" t="str">
        <f t="shared" si="7"/>
        <v>Tue</v>
      </c>
    </row>
    <row r="83" spans="1:12" x14ac:dyDescent="0.25">
      <c r="A83" s="1">
        <v>45939</v>
      </c>
      <c r="B83" t="s">
        <v>12</v>
      </c>
      <c r="C83" t="s">
        <v>21</v>
      </c>
      <c r="D83" t="s">
        <v>17</v>
      </c>
      <c r="E83" t="s">
        <v>15</v>
      </c>
      <c r="F83">
        <v>5</v>
      </c>
      <c r="G83">
        <v>755.94</v>
      </c>
      <c r="H83">
        <v>3779.7</v>
      </c>
      <c r="I83">
        <f t="shared" si="4"/>
        <v>10</v>
      </c>
      <c r="J83" t="str">
        <f t="shared" si="5"/>
        <v>Oct</v>
      </c>
      <c r="K83">
        <f t="shared" si="6"/>
        <v>5</v>
      </c>
      <c r="L83" t="str">
        <f t="shared" si="7"/>
        <v>Thu</v>
      </c>
    </row>
    <row r="84" spans="1:12" x14ac:dyDescent="0.25">
      <c r="A84" s="1">
        <v>45792</v>
      </c>
      <c r="B84" t="s">
        <v>39</v>
      </c>
      <c r="C84" t="s">
        <v>21</v>
      </c>
      <c r="D84" t="s">
        <v>19</v>
      </c>
      <c r="E84" t="s">
        <v>15</v>
      </c>
      <c r="F84">
        <v>7</v>
      </c>
      <c r="G84">
        <v>19374.009999999998</v>
      </c>
      <c r="H84">
        <v>135618.07</v>
      </c>
      <c r="I84">
        <f t="shared" si="4"/>
        <v>5</v>
      </c>
      <c r="J84" t="str">
        <f t="shared" si="5"/>
        <v>May</v>
      </c>
      <c r="K84">
        <f t="shared" si="6"/>
        <v>5</v>
      </c>
      <c r="L84" t="str">
        <f t="shared" si="7"/>
        <v>Thu</v>
      </c>
    </row>
    <row r="85" spans="1:12" x14ac:dyDescent="0.25">
      <c r="A85" s="1">
        <v>45788</v>
      </c>
      <c r="B85" t="s">
        <v>8</v>
      </c>
      <c r="C85" t="s">
        <v>21</v>
      </c>
      <c r="D85" t="s">
        <v>19</v>
      </c>
      <c r="E85" t="s">
        <v>15</v>
      </c>
      <c r="F85">
        <v>12</v>
      </c>
      <c r="G85">
        <v>1242.05</v>
      </c>
      <c r="H85">
        <v>14904.6</v>
      </c>
      <c r="I85">
        <f t="shared" si="4"/>
        <v>5</v>
      </c>
      <c r="J85" t="str">
        <f t="shared" si="5"/>
        <v>May</v>
      </c>
      <c r="K85">
        <f t="shared" si="6"/>
        <v>1</v>
      </c>
      <c r="L85" t="str">
        <f t="shared" si="7"/>
        <v>Sun</v>
      </c>
    </row>
    <row r="86" spans="1:12" x14ac:dyDescent="0.25">
      <c r="A86" s="1">
        <v>45747</v>
      </c>
      <c r="B86" t="s">
        <v>12</v>
      </c>
      <c r="C86" t="s">
        <v>21</v>
      </c>
      <c r="D86" t="s">
        <v>10</v>
      </c>
      <c r="E86" t="s">
        <v>26</v>
      </c>
      <c r="F86">
        <v>13</v>
      </c>
      <c r="G86">
        <v>636.13</v>
      </c>
      <c r="H86">
        <v>8269.69</v>
      </c>
      <c r="I86">
        <f t="shared" si="4"/>
        <v>3</v>
      </c>
      <c r="J86" t="str">
        <f t="shared" si="5"/>
        <v>Mar</v>
      </c>
      <c r="K86">
        <f t="shared" si="6"/>
        <v>2</v>
      </c>
      <c r="L86" t="str">
        <f t="shared" si="7"/>
        <v>Mon</v>
      </c>
    </row>
    <row r="87" spans="1:12" x14ac:dyDescent="0.25">
      <c r="A87" s="1">
        <v>45876</v>
      </c>
      <c r="B87" t="s">
        <v>12</v>
      </c>
      <c r="C87" t="s">
        <v>9</v>
      </c>
      <c r="D87" t="s">
        <v>10</v>
      </c>
      <c r="E87" t="s">
        <v>22</v>
      </c>
      <c r="F87">
        <v>7</v>
      </c>
      <c r="G87">
        <v>1032.8599999999999</v>
      </c>
      <c r="H87">
        <v>7230.02</v>
      </c>
      <c r="I87">
        <f t="shared" si="4"/>
        <v>8</v>
      </c>
      <c r="J87" t="str">
        <f t="shared" si="5"/>
        <v>Aug</v>
      </c>
      <c r="K87">
        <f t="shared" si="6"/>
        <v>5</v>
      </c>
      <c r="L87" t="str">
        <f t="shared" si="7"/>
        <v>Thu</v>
      </c>
    </row>
    <row r="88" spans="1:12" x14ac:dyDescent="0.25">
      <c r="A88" s="1">
        <v>46004</v>
      </c>
      <c r="B88" t="s">
        <v>40</v>
      </c>
      <c r="C88" t="s">
        <v>13</v>
      </c>
      <c r="D88" t="s">
        <v>19</v>
      </c>
      <c r="E88" t="s">
        <v>15</v>
      </c>
      <c r="F88">
        <v>1</v>
      </c>
      <c r="G88">
        <v>4170.79</v>
      </c>
      <c r="H88">
        <v>4170.79</v>
      </c>
      <c r="I88">
        <f t="shared" si="4"/>
        <v>12</v>
      </c>
      <c r="J88" t="str">
        <f t="shared" si="5"/>
        <v>Dec</v>
      </c>
      <c r="K88">
        <f t="shared" si="6"/>
        <v>7</v>
      </c>
      <c r="L88" t="str">
        <f t="shared" si="7"/>
        <v>Sat</v>
      </c>
    </row>
    <row r="89" spans="1:12" x14ac:dyDescent="0.25">
      <c r="A89" s="1">
        <v>45790</v>
      </c>
      <c r="B89" t="s">
        <v>12</v>
      </c>
      <c r="C89" t="s">
        <v>9</v>
      </c>
      <c r="D89" t="s">
        <v>19</v>
      </c>
      <c r="E89" t="s">
        <v>15</v>
      </c>
      <c r="F89">
        <v>15</v>
      </c>
      <c r="G89">
        <v>1111.22</v>
      </c>
      <c r="H89">
        <v>16668.3</v>
      </c>
      <c r="I89">
        <f t="shared" si="4"/>
        <v>5</v>
      </c>
      <c r="J89" t="str">
        <f t="shared" si="5"/>
        <v>May</v>
      </c>
      <c r="K89">
        <f t="shared" si="6"/>
        <v>3</v>
      </c>
      <c r="L89" t="str">
        <f t="shared" si="7"/>
        <v>Tue</v>
      </c>
    </row>
    <row r="90" spans="1:12" x14ac:dyDescent="0.25">
      <c r="A90" s="1">
        <v>45869</v>
      </c>
      <c r="B90" t="s">
        <v>24</v>
      </c>
      <c r="C90" t="s">
        <v>13</v>
      </c>
      <c r="D90" t="s">
        <v>10</v>
      </c>
      <c r="E90" t="s">
        <v>18</v>
      </c>
      <c r="F90">
        <v>18</v>
      </c>
      <c r="G90">
        <v>799.73</v>
      </c>
      <c r="H90">
        <v>14395.14</v>
      </c>
      <c r="I90">
        <f t="shared" si="4"/>
        <v>7</v>
      </c>
      <c r="J90" t="str">
        <f t="shared" si="5"/>
        <v>Jul</v>
      </c>
      <c r="K90">
        <f t="shared" si="6"/>
        <v>5</v>
      </c>
      <c r="L90" t="str">
        <f t="shared" si="7"/>
        <v>Thu</v>
      </c>
    </row>
    <row r="91" spans="1:12" x14ac:dyDescent="0.25">
      <c r="A91" s="1">
        <v>45961</v>
      </c>
      <c r="B91" t="s">
        <v>39</v>
      </c>
      <c r="C91" t="s">
        <v>9</v>
      </c>
      <c r="D91" t="s">
        <v>14</v>
      </c>
      <c r="E91" t="s">
        <v>26</v>
      </c>
      <c r="F91">
        <v>16</v>
      </c>
      <c r="G91">
        <v>17133.91</v>
      </c>
      <c r="H91">
        <v>274142.56</v>
      </c>
      <c r="I91">
        <f t="shared" si="4"/>
        <v>10</v>
      </c>
      <c r="J91" t="str">
        <f t="shared" si="5"/>
        <v>Oct</v>
      </c>
      <c r="K91">
        <f t="shared" si="6"/>
        <v>6</v>
      </c>
      <c r="L91" t="str">
        <f t="shared" si="7"/>
        <v>Fri</v>
      </c>
    </row>
    <row r="92" spans="1:12" x14ac:dyDescent="0.25">
      <c r="A92" s="1">
        <v>45669</v>
      </c>
      <c r="B92" t="s">
        <v>12</v>
      </c>
      <c r="C92" t="s">
        <v>21</v>
      </c>
      <c r="D92" t="s">
        <v>19</v>
      </c>
      <c r="E92" t="s">
        <v>27</v>
      </c>
      <c r="F92">
        <v>8</v>
      </c>
      <c r="G92">
        <v>721.63</v>
      </c>
      <c r="H92">
        <v>5773.04</v>
      </c>
      <c r="I92">
        <f t="shared" si="4"/>
        <v>1</v>
      </c>
      <c r="J92" t="str">
        <f t="shared" si="5"/>
        <v>Jan</v>
      </c>
      <c r="K92">
        <f t="shared" si="6"/>
        <v>1</v>
      </c>
      <c r="L92" t="str">
        <f t="shared" si="7"/>
        <v>Sun</v>
      </c>
    </row>
    <row r="93" spans="1:12" x14ac:dyDescent="0.25">
      <c r="A93" s="1">
        <v>45820</v>
      </c>
      <c r="B93" t="s">
        <v>12</v>
      </c>
      <c r="C93" t="s">
        <v>21</v>
      </c>
      <c r="D93" t="s">
        <v>19</v>
      </c>
      <c r="E93" t="s">
        <v>26</v>
      </c>
      <c r="F93">
        <v>5</v>
      </c>
      <c r="G93">
        <v>1156.17</v>
      </c>
      <c r="H93">
        <v>5780.85</v>
      </c>
      <c r="I93">
        <f t="shared" si="4"/>
        <v>6</v>
      </c>
      <c r="J93" t="str">
        <f t="shared" si="5"/>
        <v>Jun</v>
      </c>
      <c r="K93">
        <f t="shared" si="6"/>
        <v>5</v>
      </c>
      <c r="L93" t="str">
        <f t="shared" si="7"/>
        <v>Thu</v>
      </c>
    </row>
    <row r="94" spans="1:12" x14ac:dyDescent="0.25">
      <c r="A94" s="1">
        <v>45848</v>
      </c>
      <c r="B94" t="s">
        <v>25</v>
      </c>
      <c r="C94" t="s">
        <v>13</v>
      </c>
      <c r="D94" t="s">
        <v>17</v>
      </c>
      <c r="E94" t="s">
        <v>22</v>
      </c>
      <c r="F94">
        <v>1</v>
      </c>
      <c r="G94">
        <v>3313.53</v>
      </c>
      <c r="H94">
        <v>3313.53</v>
      </c>
      <c r="I94">
        <f t="shared" si="4"/>
        <v>7</v>
      </c>
      <c r="J94" t="str">
        <f t="shared" si="5"/>
        <v>Jul</v>
      </c>
      <c r="K94">
        <f t="shared" si="6"/>
        <v>5</v>
      </c>
      <c r="L94" t="str">
        <f t="shared" si="7"/>
        <v>Thu</v>
      </c>
    </row>
    <row r="95" spans="1:12" x14ac:dyDescent="0.25">
      <c r="A95" s="1">
        <v>45876</v>
      </c>
      <c r="B95" t="s">
        <v>23</v>
      </c>
      <c r="C95" t="s">
        <v>9</v>
      </c>
      <c r="D95" t="s">
        <v>14</v>
      </c>
      <c r="E95" t="s">
        <v>26</v>
      </c>
      <c r="F95">
        <v>19</v>
      </c>
      <c r="G95">
        <v>908.35</v>
      </c>
      <c r="H95">
        <v>17258.650000000001</v>
      </c>
      <c r="I95">
        <f t="shared" si="4"/>
        <v>8</v>
      </c>
      <c r="J95" t="str">
        <f t="shared" si="5"/>
        <v>Aug</v>
      </c>
      <c r="K95">
        <f t="shared" si="6"/>
        <v>5</v>
      </c>
      <c r="L95" t="str">
        <f t="shared" si="7"/>
        <v>Thu</v>
      </c>
    </row>
    <row r="96" spans="1:12" x14ac:dyDescent="0.25">
      <c r="A96" s="1">
        <v>45959</v>
      </c>
      <c r="B96" t="s">
        <v>40</v>
      </c>
      <c r="C96" t="s">
        <v>21</v>
      </c>
      <c r="D96" t="s">
        <v>14</v>
      </c>
      <c r="E96" t="s">
        <v>26</v>
      </c>
      <c r="F96">
        <v>13</v>
      </c>
      <c r="G96">
        <v>3994.5</v>
      </c>
      <c r="H96">
        <v>51928.5</v>
      </c>
      <c r="I96">
        <f t="shared" si="4"/>
        <v>10</v>
      </c>
      <c r="J96" t="str">
        <f t="shared" si="5"/>
        <v>Oct</v>
      </c>
      <c r="K96">
        <f t="shared" si="6"/>
        <v>4</v>
      </c>
      <c r="L96" t="str">
        <f t="shared" si="7"/>
        <v>Wed</v>
      </c>
    </row>
    <row r="97" spans="1:12" x14ac:dyDescent="0.25">
      <c r="A97" s="1">
        <v>45945</v>
      </c>
      <c r="B97" t="s">
        <v>25</v>
      </c>
      <c r="C97" t="s">
        <v>9</v>
      </c>
      <c r="D97" t="s">
        <v>14</v>
      </c>
      <c r="E97" t="s">
        <v>18</v>
      </c>
      <c r="F97">
        <v>11</v>
      </c>
      <c r="G97">
        <v>3697.67</v>
      </c>
      <c r="H97">
        <v>40674.370000000003</v>
      </c>
      <c r="I97">
        <f t="shared" si="4"/>
        <v>10</v>
      </c>
      <c r="J97" t="str">
        <f t="shared" si="5"/>
        <v>Oct</v>
      </c>
      <c r="K97">
        <f t="shared" si="6"/>
        <v>4</v>
      </c>
      <c r="L97" t="str">
        <f t="shared" si="7"/>
        <v>Wed</v>
      </c>
    </row>
    <row r="98" spans="1:12" x14ac:dyDescent="0.25">
      <c r="A98" s="1">
        <v>45719</v>
      </c>
      <c r="B98" t="s">
        <v>40</v>
      </c>
      <c r="C98" t="s">
        <v>21</v>
      </c>
      <c r="D98" t="s">
        <v>10</v>
      </c>
      <c r="E98" t="s">
        <v>26</v>
      </c>
      <c r="F98">
        <v>17</v>
      </c>
      <c r="G98">
        <v>6014.99</v>
      </c>
      <c r="H98">
        <v>102254.83</v>
      </c>
      <c r="I98">
        <f t="shared" si="4"/>
        <v>3</v>
      </c>
      <c r="J98" t="str">
        <f t="shared" si="5"/>
        <v>Mar</v>
      </c>
      <c r="K98">
        <f t="shared" si="6"/>
        <v>2</v>
      </c>
      <c r="L98" t="str">
        <f t="shared" si="7"/>
        <v>Mon</v>
      </c>
    </row>
    <row r="99" spans="1:12" x14ac:dyDescent="0.25">
      <c r="A99" s="1">
        <v>45754</v>
      </c>
      <c r="B99" t="s">
        <v>40</v>
      </c>
      <c r="C99" t="s">
        <v>13</v>
      </c>
      <c r="D99" t="s">
        <v>10</v>
      </c>
      <c r="E99" t="s">
        <v>22</v>
      </c>
      <c r="F99">
        <v>16</v>
      </c>
      <c r="G99">
        <v>3726.08</v>
      </c>
      <c r="H99">
        <v>59617.279999999999</v>
      </c>
      <c r="I99">
        <f t="shared" si="4"/>
        <v>4</v>
      </c>
      <c r="J99" t="str">
        <f t="shared" si="5"/>
        <v>Apr</v>
      </c>
      <c r="K99">
        <f t="shared" si="6"/>
        <v>2</v>
      </c>
      <c r="L99" t="str">
        <f t="shared" si="7"/>
        <v>Mon</v>
      </c>
    </row>
    <row r="100" spans="1:12" x14ac:dyDescent="0.25">
      <c r="A100" s="1">
        <v>45853</v>
      </c>
      <c r="B100" t="s">
        <v>24</v>
      </c>
      <c r="C100" t="s">
        <v>21</v>
      </c>
      <c r="D100" t="s">
        <v>10</v>
      </c>
      <c r="E100" t="s">
        <v>22</v>
      </c>
      <c r="F100">
        <v>5</v>
      </c>
      <c r="G100">
        <v>1135.67</v>
      </c>
      <c r="H100">
        <v>5678.35</v>
      </c>
      <c r="I100">
        <f t="shared" si="4"/>
        <v>7</v>
      </c>
      <c r="J100" t="str">
        <f t="shared" si="5"/>
        <v>Jul</v>
      </c>
      <c r="K100">
        <f t="shared" si="6"/>
        <v>3</v>
      </c>
      <c r="L100" t="str">
        <f t="shared" si="7"/>
        <v>Tue</v>
      </c>
    </row>
    <row r="101" spans="1:12" x14ac:dyDescent="0.25">
      <c r="A101" s="1">
        <v>45858</v>
      </c>
      <c r="B101" t="s">
        <v>12</v>
      </c>
      <c r="C101" t="s">
        <v>13</v>
      </c>
      <c r="D101" t="s">
        <v>17</v>
      </c>
      <c r="E101" t="s">
        <v>15</v>
      </c>
      <c r="F101">
        <v>14</v>
      </c>
      <c r="G101">
        <v>740.72</v>
      </c>
      <c r="H101">
        <v>10370.08</v>
      </c>
      <c r="I101">
        <f t="shared" si="4"/>
        <v>7</v>
      </c>
      <c r="J101" t="str">
        <f t="shared" si="5"/>
        <v>Jul</v>
      </c>
      <c r="K101">
        <f t="shared" si="6"/>
        <v>1</v>
      </c>
      <c r="L101" t="str">
        <f t="shared" si="7"/>
        <v>Sun</v>
      </c>
    </row>
    <row r="102" spans="1:12" x14ac:dyDescent="0.25">
      <c r="A102" s="1">
        <v>45658</v>
      </c>
      <c r="B102" t="s">
        <v>23</v>
      </c>
      <c r="C102" t="s">
        <v>9</v>
      </c>
      <c r="D102" t="s">
        <v>17</v>
      </c>
      <c r="E102" t="s">
        <v>18</v>
      </c>
      <c r="F102">
        <v>1</v>
      </c>
      <c r="G102">
        <v>882.42</v>
      </c>
      <c r="H102">
        <v>882.42</v>
      </c>
      <c r="I102">
        <f t="shared" si="4"/>
        <v>1</v>
      </c>
      <c r="J102" t="str">
        <f t="shared" si="5"/>
        <v>Jan</v>
      </c>
      <c r="K102">
        <f t="shared" si="6"/>
        <v>4</v>
      </c>
      <c r="L102" t="str">
        <f t="shared" si="7"/>
        <v>Wed</v>
      </c>
    </row>
    <row r="103" spans="1:12" x14ac:dyDescent="0.25">
      <c r="A103" s="1">
        <v>45944</v>
      </c>
      <c r="B103" t="s">
        <v>16</v>
      </c>
      <c r="C103" t="s">
        <v>13</v>
      </c>
      <c r="D103" t="s">
        <v>19</v>
      </c>
      <c r="E103" t="s">
        <v>26</v>
      </c>
      <c r="F103">
        <v>2</v>
      </c>
      <c r="G103">
        <v>2464.3200000000002</v>
      </c>
      <c r="H103">
        <v>4928.6400000000003</v>
      </c>
      <c r="I103">
        <f t="shared" si="4"/>
        <v>10</v>
      </c>
      <c r="J103" t="str">
        <f t="shared" si="5"/>
        <v>Oct</v>
      </c>
      <c r="K103">
        <f t="shared" si="6"/>
        <v>3</v>
      </c>
      <c r="L103" t="str">
        <f t="shared" si="7"/>
        <v>Tue</v>
      </c>
    </row>
    <row r="104" spans="1:12" x14ac:dyDescent="0.25">
      <c r="A104" s="1">
        <v>45915</v>
      </c>
      <c r="B104" t="s">
        <v>16</v>
      </c>
      <c r="C104" t="s">
        <v>9</v>
      </c>
      <c r="D104" t="s">
        <v>14</v>
      </c>
      <c r="E104" t="s">
        <v>18</v>
      </c>
      <c r="F104">
        <v>5</v>
      </c>
      <c r="G104">
        <v>1882.61</v>
      </c>
      <c r="H104">
        <v>9413.0499999999993</v>
      </c>
      <c r="I104">
        <f t="shared" si="4"/>
        <v>9</v>
      </c>
      <c r="J104" t="str">
        <f t="shared" si="5"/>
        <v>Sep</v>
      </c>
      <c r="K104">
        <f t="shared" si="6"/>
        <v>2</v>
      </c>
      <c r="L104" t="str">
        <f t="shared" si="7"/>
        <v>Mon</v>
      </c>
    </row>
    <row r="105" spans="1:12" x14ac:dyDescent="0.25">
      <c r="A105" s="1">
        <v>45907</v>
      </c>
      <c r="B105" t="s">
        <v>40</v>
      </c>
      <c r="C105" t="s">
        <v>9</v>
      </c>
      <c r="D105" t="s">
        <v>19</v>
      </c>
      <c r="E105" t="s">
        <v>15</v>
      </c>
      <c r="F105">
        <v>14</v>
      </c>
      <c r="G105">
        <v>5612.24</v>
      </c>
      <c r="H105">
        <v>78571.360000000001</v>
      </c>
      <c r="I105">
        <f t="shared" si="4"/>
        <v>9</v>
      </c>
      <c r="J105" t="str">
        <f t="shared" si="5"/>
        <v>Sep</v>
      </c>
      <c r="K105">
        <f t="shared" si="6"/>
        <v>1</v>
      </c>
      <c r="L105" t="str">
        <f t="shared" si="7"/>
        <v>Sun</v>
      </c>
    </row>
    <row r="106" spans="1:12" x14ac:dyDescent="0.25">
      <c r="A106" s="1">
        <v>45759</v>
      </c>
      <c r="B106" t="s">
        <v>25</v>
      </c>
      <c r="C106" t="s">
        <v>21</v>
      </c>
      <c r="D106" t="s">
        <v>14</v>
      </c>
      <c r="E106" t="s">
        <v>26</v>
      </c>
      <c r="F106">
        <v>2</v>
      </c>
      <c r="G106">
        <v>3786.95</v>
      </c>
      <c r="H106">
        <v>7573.9</v>
      </c>
      <c r="I106">
        <f t="shared" si="4"/>
        <v>4</v>
      </c>
      <c r="J106" t="str">
        <f t="shared" si="5"/>
        <v>Apr</v>
      </c>
      <c r="K106">
        <f t="shared" si="6"/>
        <v>7</v>
      </c>
      <c r="L106" t="str">
        <f t="shared" si="7"/>
        <v>Sat</v>
      </c>
    </row>
    <row r="107" spans="1:12" x14ac:dyDescent="0.25">
      <c r="A107" s="1">
        <v>45991</v>
      </c>
      <c r="B107" t="s">
        <v>23</v>
      </c>
      <c r="C107" t="s">
        <v>13</v>
      </c>
      <c r="D107" t="s">
        <v>14</v>
      </c>
      <c r="E107" t="s">
        <v>18</v>
      </c>
      <c r="F107">
        <v>6</v>
      </c>
      <c r="G107">
        <v>776.44</v>
      </c>
      <c r="H107">
        <v>4658.6400000000003</v>
      </c>
      <c r="I107">
        <f t="shared" si="4"/>
        <v>11</v>
      </c>
      <c r="J107" t="str">
        <f t="shared" si="5"/>
        <v>Nov</v>
      </c>
      <c r="K107">
        <f t="shared" si="6"/>
        <v>1</v>
      </c>
      <c r="L107" t="str">
        <f t="shared" si="7"/>
        <v>Sun</v>
      </c>
    </row>
    <row r="108" spans="1:12" x14ac:dyDescent="0.25">
      <c r="A108" s="1">
        <v>45991</v>
      </c>
      <c r="B108" t="s">
        <v>20</v>
      </c>
      <c r="C108" t="s">
        <v>21</v>
      </c>
      <c r="D108" t="s">
        <v>10</v>
      </c>
      <c r="E108" t="s">
        <v>22</v>
      </c>
      <c r="F108">
        <v>5</v>
      </c>
      <c r="G108">
        <v>1766.82</v>
      </c>
      <c r="H108">
        <v>8834.1</v>
      </c>
      <c r="I108">
        <f t="shared" si="4"/>
        <v>11</v>
      </c>
      <c r="J108" t="str">
        <f t="shared" si="5"/>
        <v>Nov</v>
      </c>
      <c r="K108">
        <f t="shared" si="6"/>
        <v>1</v>
      </c>
      <c r="L108" t="str">
        <f t="shared" si="7"/>
        <v>Sun</v>
      </c>
    </row>
    <row r="109" spans="1:12" x14ac:dyDescent="0.25">
      <c r="A109" s="1">
        <v>45794</v>
      </c>
      <c r="B109" t="s">
        <v>41</v>
      </c>
      <c r="C109" t="s">
        <v>9</v>
      </c>
      <c r="D109" t="s">
        <v>14</v>
      </c>
      <c r="E109" t="s">
        <v>18</v>
      </c>
      <c r="F109">
        <v>5</v>
      </c>
      <c r="G109">
        <v>772.81</v>
      </c>
      <c r="H109">
        <v>3864.05</v>
      </c>
      <c r="I109">
        <f t="shared" si="4"/>
        <v>5</v>
      </c>
      <c r="J109" t="str">
        <f t="shared" si="5"/>
        <v>May</v>
      </c>
      <c r="K109">
        <f t="shared" si="6"/>
        <v>7</v>
      </c>
      <c r="L109" t="str">
        <f t="shared" si="7"/>
        <v>Sat</v>
      </c>
    </row>
    <row r="110" spans="1:12" x14ac:dyDescent="0.25">
      <c r="A110" s="1">
        <v>45710</v>
      </c>
      <c r="B110" t="s">
        <v>16</v>
      </c>
      <c r="C110" t="s">
        <v>9</v>
      </c>
      <c r="D110" t="s">
        <v>14</v>
      </c>
      <c r="E110" t="s">
        <v>26</v>
      </c>
      <c r="F110">
        <v>11</v>
      </c>
      <c r="G110">
        <v>2110.2199999999998</v>
      </c>
      <c r="H110">
        <v>23212.42</v>
      </c>
      <c r="I110">
        <f t="shared" si="4"/>
        <v>2</v>
      </c>
      <c r="J110" t="str">
        <f t="shared" si="5"/>
        <v>Feb</v>
      </c>
      <c r="K110">
        <f t="shared" si="6"/>
        <v>7</v>
      </c>
      <c r="L110" t="str">
        <f t="shared" si="7"/>
        <v>Sat</v>
      </c>
    </row>
    <row r="111" spans="1:12" x14ac:dyDescent="0.25">
      <c r="A111" s="1">
        <v>45767</v>
      </c>
      <c r="B111" t="s">
        <v>40</v>
      </c>
      <c r="C111" t="s">
        <v>13</v>
      </c>
      <c r="D111" t="s">
        <v>10</v>
      </c>
      <c r="E111" t="s">
        <v>26</v>
      </c>
      <c r="F111">
        <v>16</v>
      </c>
      <c r="G111">
        <v>5422.62</v>
      </c>
      <c r="H111">
        <v>86761.919999999998</v>
      </c>
      <c r="I111">
        <f t="shared" si="4"/>
        <v>4</v>
      </c>
      <c r="J111" t="str">
        <f t="shared" si="5"/>
        <v>Apr</v>
      </c>
      <c r="K111">
        <f t="shared" si="6"/>
        <v>1</v>
      </c>
      <c r="L111" t="str">
        <f t="shared" si="7"/>
        <v>Sun</v>
      </c>
    </row>
    <row r="112" spans="1:12" x14ac:dyDescent="0.25">
      <c r="A112" s="1">
        <v>46016</v>
      </c>
      <c r="B112" t="s">
        <v>8</v>
      </c>
      <c r="C112" t="s">
        <v>9</v>
      </c>
      <c r="D112" t="s">
        <v>10</v>
      </c>
      <c r="E112" t="s">
        <v>26</v>
      </c>
      <c r="F112">
        <v>18</v>
      </c>
      <c r="G112">
        <v>1273.3900000000001</v>
      </c>
      <c r="H112">
        <v>22921.02</v>
      </c>
      <c r="I112">
        <f t="shared" si="4"/>
        <v>12</v>
      </c>
      <c r="J112" t="str">
        <f t="shared" si="5"/>
        <v>Dec</v>
      </c>
      <c r="K112">
        <f t="shared" si="6"/>
        <v>5</v>
      </c>
      <c r="L112" t="str">
        <f t="shared" si="7"/>
        <v>Thu</v>
      </c>
    </row>
    <row r="113" spans="1:12" x14ac:dyDescent="0.25">
      <c r="A113" s="1">
        <v>45708</v>
      </c>
      <c r="B113" t="s">
        <v>23</v>
      </c>
      <c r="C113" t="s">
        <v>9</v>
      </c>
      <c r="D113" t="s">
        <v>17</v>
      </c>
      <c r="E113" t="s">
        <v>26</v>
      </c>
      <c r="F113">
        <v>10</v>
      </c>
      <c r="G113">
        <v>644.97</v>
      </c>
      <c r="H113">
        <v>6449.7</v>
      </c>
      <c r="I113">
        <f t="shared" si="4"/>
        <v>2</v>
      </c>
      <c r="J113" t="str">
        <f t="shared" si="5"/>
        <v>Feb</v>
      </c>
      <c r="K113">
        <f t="shared" si="6"/>
        <v>5</v>
      </c>
      <c r="L113" t="str">
        <f t="shared" si="7"/>
        <v>Thu</v>
      </c>
    </row>
    <row r="114" spans="1:12" x14ac:dyDescent="0.25">
      <c r="A114" s="1">
        <v>45982</v>
      </c>
      <c r="B114" t="s">
        <v>39</v>
      </c>
      <c r="C114" t="s">
        <v>9</v>
      </c>
      <c r="D114" t="s">
        <v>17</v>
      </c>
      <c r="E114" t="s">
        <v>18</v>
      </c>
      <c r="F114">
        <v>14</v>
      </c>
      <c r="G114">
        <v>13778.43</v>
      </c>
      <c r="H114">
        <v>192898.02</v>
      </c>
      <c r="I114">
        <f t="shared" si="4"/>
        <v>11</v>
      </c>
      <c r="J114" t="str">
        <f t="shared" si="5"/>
        <v>Nov</v>
      </c>
      <c r="K114">
        <f t="shared" si="6"/>
        <v>6</v>
      </c>
      <c r="L114" t="str">
        <f t="shared" si="7"/>
        <v>Fri</v>
      </c>
    </row>
    <row r="115" spans="1:12" x14ac:dyDescent="0.25">
      <c r="A115" s="1">
        <v>45734</v>
      </c>
      <c r="B115" t="s">
        <v>12</v>
      </c>
      <c r="C115" t="s">
        <v>9</v>
      </c>
      <c r="D115" t="s">
        <v>10</v>
      </c>
      <c r="E115" t="s">
        <v>22</v>
      </c>
      <c r="F115">
        <v>15</v>
      </c>
      <c r="G115">
        <v>969.07</v>
      </c>
      <c r="H115">
        <v>14536.05</v>
      </c>
      <c r="I115">
        <f t="shared" si="4"/>
        <v>3</v>
      </c>
      <c r="J115" t="str">
        <f t="shared" si="5"/>
        <v>Mar</v>
      </c>
      <c r="K115">
        <f t="shared" si="6"/>
        <v>3</v>
      </c>
      <c r="L115" t="str">
        <f t="shared" si="7"/>
        <v>Tue</v>
      </c>
    </row>
    <row r="116" spans="1:12" x14ac:dyDescent="0.25">
      <c r="A116" s="1">
        <v>45895</v>
      </c>
      <c r="B116" t="s">
        <v>41</v>
      </c>
      <c r="C116" t="s">
        <v>21</v>
      </c>
      <c r="D116" t="s">
        <v>10</v>
      </c>
      <c r="E116" t="s">
        <v>22</v>
      </c>
      <c r="F116">
        <v>17</v>
      </c>
      <c r="G116">
        <v>519.67999999999995</v>
      </c>
      <c r="H116">
        <v>8834.56</v>
      </c>
      <c r="I116">
        <f t="shared" si="4"/>
        <v>8</v>
      </c>
      <c r="J116" t="str">
        <f t="shared" si="5"/>
        <v>Aug</v>
      </c>
      <c r="K116">
        <f t="shared" si="6"/>
        <v>3</v>
      </c>
      <c r="L116" t="str">
        <f t="shared" si="7"/>
        <v>Tue</v>
      </c>
    </row>
    <row r="117" spans="1:12" x14ac:dyDescent="0.25">
      <c r="A117" s="1">
        <v>45913</v>
      </c>
      <c r="B117" t="s">
        <v>41</v>
      </c>
      <c r="C117" t="s">
        <v>9</v>
      </c>
      <c r="D117" t="s">
        <v>10</v>
      </c>
      <c r="E117" t="s">
        <v>22</v>
      </c>
      <c r="F117">
        <v>15</v>
      </c>
      <c r="G117">
        <v>613.16999999999996</v>
      </c>
      <c r="H117">
        <v>9197.5499999999993</v>
      </c>
      <c r="I117">
        <f t="shared" si="4"/>
        <v>9</v>
      </c>
      <c r="J117" t="str">
        <f t="shared" si="5"/>
        <v>Sep</v>
      </c>
      <c r="K117">
        <f t="shared" si="6"/>
        <v>7</v>
      </c>
      <c r="L117" t="str">
        <f t="shared" si="7"/>
        <v>Sat</v>
      </c>
    </row>
    <row r="118" spans="1:12" x14ac:dyDescent="0.25">
      <c r="A118" s="1">
        <v>45713</v>
      </c>
      <c r="B118" t="s">
        <v>25</v>
      </c>
      <c r="C118" t="s">
        <v>21</v>
      </c>
      <c r="D118" t="s">
        <v>14</v>
      </c>
      <c r="E118" t="s">
        <v>18</v>
      </c>
      <c r="F118">
        <v>14</v>
      </c>
      <c r="G118">
        <v>3421.32</v>
      </c>
      <c r="H118">
        <v>47898.48</v>
      </c>
      <c r="I118">
        <f t="shared" si="4"/>
        <v>2</v>
      </c>
      <c r="J118" t="str">
        <f t="shared" si="5"/>
        <v>Feb</v>
      </c>
      <c r="K118">
        <f t="shared" si="6"/>
        <v>3</v>
      </c>
      <c r="L118" t="str">
        <f t="shared" si="7"/>
        <v>Tue</v>
      </c>
    </row>
    <row r="119" spans="1:12" x14ac:dyDescent="0.25">
      <c r="A119" s="1">
        <v>46021</v>
      </c>
      <c r="B119" t="s">
        <v>12</v>
      </c>
      <c r="C119" t="s">
        <v>21</v>
      </c>
      <c r="D119" t="s">
        <v>10</v>
      </c>
      <c r="E119" t="s">
        <v>26</v>
      </c>
      <c r="F119">
        <v>7</v>
      </c>
      <c r="G119">
        <v>1001.07</v>
      </c>
      <c r="H119">
        <v>7007.49</v>
      </c>
      <c r="I119">
        <f t="shared" si="4"/>
        <v>12</v>
      </c>
      <c r="J119" t="str">
        <f t="shared" si="5"/>
        <v>Dec</v>
      </c>
      <c r="K119">
        <f t="shared" si="6"/>
        <v>3</v>
      </c>
      <c r="L119" t="str">
        <f t="shared" si="7"/>
        <v>Tue</v>
      </c>
    </row>
    <row r="120" spans="1:12" x14ac:dyDescent="0.25">
      <c r="A120" s="1">
        <v>45894</v>
      </c>
      <c r="B120" t="s">
        <v>16</v>
      </c>
      <c r="C120" t="s">
        <v>21</v>
      </c>
      <c r="D120" t="s">
        <v>14</v>
      </c>
      <c r="E120" t="s">
        <v>26</v>
      </c>
      <c r="F120">
        <v>19</v>
      </c>
      <c r="G120">
        <v>2113.71</v>
      </c>
      <c r="H120">
        <v>40160.49</v>
      </c>
      <c r="I120">
        <f t="shared" si="4"/>
        <v>8</v>
      </c>
      <c r="J120" t="str">
        <f t="shared" si="5"/>
        <v>Aug</v>
      </c>
      <c r="K120">
        <f t="shared" si="6"/>
        <v>2</v>
      </c>
      <c r="L120" t="str">
        <f t="shared" si="7"/>
        <v>Mon</v>
      </c>
    </row>
    <row r="121" spans="1:12" x14ac:dyDescent="0.25">
      <c r="A121" s="1">
        <v>45775</v>
      </c>
      <c r="B121" t="s">
        <v>24</v>
      </c>
      <c r="C121" t="s">
        <v>21</v>
      </c>
      <c r="D121" t="s">
        <v>10</v>
      </c>
      <c r="E121" t="s">
        <v>22</v>
      </c>
      <c r="F121">
        <v>17</v>
      </c>
      <c r="G121">
        <v>826.87</v>
      </c>
      <c r="H121">
        <v>14056.79</v>
      </c>
      <c r="I121">
        <f t="shared" si="4"/>
        <v>4</v>
      </c>
      <c r="J121" t="str">
        <f t="shared" si="5"/>
        <v>Apr</v>
      </c>
      <c r="K121">
        <f t="shared" si="6"/>
        <v>2</v>
      </c>
      <c r="L121" t="str">
        <f t="shared" si="7"/>
        <v>Mon</v>
      </c>
    </row>
    <row r="122" spans="1:12" x14ac:dyDescent="0.25">
      <c r="A122" s="1">
        <v>45782</v>
      </c>
      <c r="B122" t="s">
        <v>40</v>
      </c>
      <c r="C122" t="s">
        <v>9</v>
      </c>
      <c r="D122" t="s">
        <v>17</v>
      </c>
      <c r="E122" t="s">
        <v>18</v>
      </c>
      <c r="F122">
        <v>4</v>
      </c>
      <c r="G122">
        <v>4565.3100000000004</v>
      </c>
      <c r="H122">
        <v>18261.240000000002</v>
      </c>
      <c r="I122">
        <f t="shared" si="4"/>
        <v>5</v>
      </c>
      <c r="J122" t="str">
        <f t="shared" si="5"/>
        <v>May</v>
      </c>
      <c r="K122">
        <f t="shared" si="6"/>
        <v>2</v>
      </c>
      <c r="L122" t="str">
        <f t="shared" si="7"/>
        <v>Mon</v>
      </c>
    </row>
    <row r="123" spans="1:12" x14ac:dyDescent="0.25">
      <c r="A123" s="1">
        <v>45889</v>
      </c>
      <c r="B123" t="s">
        <v>16</v>
      </c>
      <c r="C123" t="s">
        <v>13</v>
      </c>
      <c r="D123" t="s">
        <v>19</v>
      </c>
      <c r="E123" t="s">
        <v>26</v>
      </c>
      <c r="F123">
        <v>15</v>
      </c>
      <c r="G123">
        <v>2868.16</v>
      </c>
      <c r="H123">
        <v>43022.400000000001</v>
      </c>
      <c r="I123">
        <f t="shared" si="4"/>
        <v>8</v>
      </c>
      <c r="J123" t="str">
        <f t="shared" si="5"/>
        <v>Aug</v>
      </c>
      <c r="K123">
        <f t="shared" si="6"/>
        <v>4</v>
      </c>
      <c r="L123" t="str">
        <f t="shared" si="7"/>
        <v>Wed</v>
      </c>
    </row>
    <row r="124" spans="1:12" x14ac:dyDescent="0.25">
      <c r="A124" s="1">
        <v>45892</v>
      </c>
      <c r="B124" t="s">
        <v>23</v>
      </c>
      <c r="C124" t="s">
        <v>21</v>
      </c>
      <c r="D124" t="s">
        <v>17</v>
      </c>
      <c r="E124" t="s">
        <v>15</v>
      </c>
      <c r="F124">
        <v>6</v>
      </c>
      <c r="G124">
        <v>991.83</v>
      </c>
      <c r="H124">
        <v>5950.98</v>
      </c>
      <c r="I124">
        <f t="shared" si="4"/>
        <v>8</v>
      </c>
      <c r="J124" t="str">
        <f t="shared" si="5"/>
        <v>Aug</v>
      </c>
      <c r="K124">
        <f t="shared" si="6"/>
        <v>7</v>
      </c>
      <c r="L124" t="str">
        <f t="shared" si="7"/>
        <v>Sat</v>
      </c>
    </row>
    <row r="125" spans="1:12" x14ac:dyDescent="0.25">
      <c r="A125" s="1">
        <v>45976</v>
      </c>
      <c r="B125" t="s">
        <v>16</v>
      </c>
      <c r="C125" t="s">
        <v>13</v>
      </c>
      <c r="D125" t="s">
        <v>19</v>
      </c>
      <c r="E125" t="s">
        <v>26</v>
      </c>
      <c r="F125">
        <v>13</v>
      </c>
      <c r="G125">
        <v>2245.52</v>
      </c>
      <c r="H125">
        <v>29191.759999999998</v>
      </c>
      <c r="I125">
        <f t="shared" si="4"/>
        <v>11</v>
      </c>
      <c r="J125" t="str">
        <f t="shared" si="5"/>
        <v>Nov</v>
      </c>
      <c r="K125">
        <f t="shared" si="6"/>
        <v>7</v>
      </c>
      <c r="L125" t="str">
        <f t="shared" si="7"/>
        <v>Sat</v>
      </c>
    </row>
    <row r="126" spans="1:12" x14ac:dyDescent="0.25">
      <c r="A126" s="1">
        <v>45945</v>
      </c>
      <c r="B126" t="s">
        <v>24</v>
      </c>
      <c r="C126" t="s">
        <v>21</v>
      </c>
      <c r="D126" t="s">
        <v>17</v>
      </c>
      <c r="E126" t="s">
        <v>18</v>
      </c>
      <c r="F126">
        <v>11</v>
      </c>
      <c r="G126">
        <v>752.73</v>
      </c>
      <c r="H126">
        <v>8280.0300000000007</v>
      </c>
      <c r="I126">
        <f t="shared" si="4"/>
        <v>10</v>
      </c>
      <c r="J126" t="str">
        <f t="shared" si="5"/>
        <v>Oct</v>
      </c>
      <c r="K126">
        <f t="shared" si="6"/>
        <v>4</v>
      </c>
      <c r="L126" t="str">
        <f t="shared" si="7"/>
        <v>Wed</v>
      </c>
    </row>
    <row r="127" spans="1:12" x14ac:dyDescent="0.25">
      <c r="A127" s="1">
        <v>46006</v>
      </c>
      <c r="B127" t="s">
        <v>41</v>
      </c>
      <c r="C127" t="s">
        <v>13</v>
      </c>
      <c r="D127" t="s">
        <v>17</v>
      </c>
      <c r="E127" t="s">
        <v>26</v>
      </c>
      <c r="F127">
        <v>19</v>
      </c>
      <c r="G127">
        <v>426.57</v>
      </c>
      <c r="H127">
        <v>8104.83</v>
      </c>
      <c r="I127">
        <f t="shared" si="4"/>
        <v>12</v>
      </c>
      <c r="J127" t="str">
        <f t="shared" si="5"/>
        <v>Dec</v>
      </c>
      <c r="K127">
        <f t="shared" si="6"/>
        <v>2</v>
      </c>
      <c r="L127" t="str">
        <f t="shared" si="7"/>
        <v>Mon</v>
      </c>
    </row>
    <row r="128" spans="1:12" x14ac:dyDescent="0.25">
      <c r="A128" s="1">
        <v>45885</v>
      </c>
      <c r="B128" t="s">
        <v>8</v>
      </c>
      <c r="C128" t="s">
        <v>13</v>
      </c>
      <c r="D128" t="s">
        <v>14</v>
      </c>
      <c r="E128" t="s">
        <v>26</v>
      </c>
      <c r="F128">
        <v>11</v>
      </c>
      <c r="G128">
        <v>1463.17</v>
      </c>
      <c r="H128">
        <v>16094.87</v>
      </c>
      <c r="I128">
        <f t="shared" si="4"/>
        <v>8</v>
      </c>
      <c r="J128" t="str">
        <f t="shared" si="5"/>
        <v>Aug</v>
      </c>
      <c r="K128">
        <f t="shared" si="6"/>
        <v>7</v>
      </c>
      <c r="L128" t="str">
        <f t="shared" si="7"/>
        <v>Sat</v>
      </c>
    </row>
    <row r="129" spans="1:12" x14ac:dyDescent="0.25">
      <c r="A129" s="1">
        <v>45790</v>
      </c>
      <c r="B129" t="s">
        <v>25</v>
      </c>
      <c r="C129" t="s">
        <v>9</v>
      </c>
      <c r="D129" t="s">
        <v>14</v>
      </c>
      <c r="E129" t="s">
        <v>11</v>
      </c>
      <c r="F129">
        <v>2</v>
      </c>
      <c r="G129">
        <v>3619.2</v>
      </c>
      <c r="H129">
        <v>7238.4</v>
      </c>
      <c r="I129">
        <f t="shared" si="4"/>
        <v>5</v>
      </c>
      <c r="J129" t="str">
        <f t="shared" si="5"/>
        <v>May</v>
      </c>
      <c r="K129">
        <f t="shared" si="6"/>
        <v>3</v>
      </c>
      <c r="L129" t="str">
        <f t="shared" si="7"/>
        <v>Tue</v>
      </c>
    </row>
    <row r="130" spans="1:12" x14ac:dyDescent="0.25">
      <c r="A130" s="1">
        <v>45683</v>
      </c>
      <c r="B130" t="s">
        <v>23</v>
      </c>
      <c r="C130" t="s">
        <v>9</v>
      </c>
      <c r="D130" t="s">
        <v>19</v>
      </c>
      <c r="E130" t="s">
        <v>15</v>
      </c>
      <c r="F130">
        <v>6</v>
      </c>
      <c r="G130">
        <v>1024.6400000000001</v>
      </c>
      <c r="H130">
        <v>6147.84</v>
      </c>
      <c r="I130">
        <f t="shared" ref="I130:I193" si="8">MONTH(A130)</f>
        <v>1</v>
      </c>
      <c r="J130" t="str">
        <f t="shared" ref="J130:J193" si="9">TEXT(A130,"MMM")</f>
        <v>Jan</v>
      </c>
      <c r="K130">
        <f t="shared" ref="K130:K193" si="10">WEEKDAY(A130,1)</f>
        <v>1</v>
      </c>
      <c r="L130" t="str">
        <f t="shared" ref="L130:L193" si="11">TEXT(K130,"DDD")</f>
        <v>Sun</v>
      </c>
    </row>
    <row r="131" spans="1:12" x14ac:dyDescent="0.25">
      <c r="A131" s="1">
        <v>45980</v>
      </c>
      <c r="B131" t="s">
        <v>23</v>
      </c>
      <c r="C131" t="s">
        <v>9</v>
      </c>
      <c r="D131" t="s">
        <v>19</v>
      </c>
      <c r="E131" t="s">
        <v>15</v>
      </c>
      <c r="F131">
        <v>12</v>
      </c>
      <c r="G131">
        <v>615.12</v>
      </c>
      <c r="H131">
        <v>7381.44</v>
      </c>
      <c r="I131">
        <f t="shared" si="8"/>
        <v>11</v>
      </c>
      <c r="J131" t="str">
        <f t="shared" si="9"/>
        <v>Nov</v>
      </c>
      <c r="K131">
        <f t="shared" si="10"/>
        <v>4</v>
      </c>
      <c r="L131" t="str">
        <f t="shared" si="11"/>
        <v>Wed</v>
      </c>
    </row>
    <row r="132" spans="1:12" x14ac:dyDescent="0.25">
      <c r="A132" s="1">
        <v>45746</v>
      </c>
      <c r="B132" t="s">
        <v>25</v>
      </c>
      <c r="C132" t="s">
        <v>9</v>
      </c>
      <c r="D132" t="s">
        <v>14</v>
      </c>
      <c r="E132" t="s">
        <v>11</v>
      </c>
      <c r="F132">
        <v>4</v>
      </c>
      <c r="G132">
        <v>3123.35</v>
      </c>
      <c r="H132">
        <v>12493.4</v>
      </c>
      <c r="I132">
        <f t="shared" si="8"/>
        <v>3</v>
      </c>
      <c r="J132" t="str">
        <f t="shared" si="9"/>
        <v>Mar</v>
      </c>
      <c r="K132">
        <f t="shared" si="10"/>
        <v>1</v>
      </c>
      <c r="L132" t="str">
        <f t="shared" si="11"/>
        <v>Sun</v>
      </c>
    </row>
    <row r="133" spans="1:12" x14ac:dyDescent="0.25">
      <c r="A133" s="1">
        <v>45919</v>
      </c>
      <c r="B133" t="s">
        <v>39</v>
      </c>
      <c r="C133" t="s">
        <v>21</v>
      </c>
      <c r="D133" t="s">
        <v>14</v>
      </c>
      <c r="E133" t="s">
        <v>26</v>
      </c>
      <c r="F133">
        <v>5</v>
      </c>
      <c r="G133">
        <v>11070.37</v>
      </c>
      <c r="H133">
        <v>55351.85</v>
      </c>
      <c r="I133">
        <f t="shared" si="8"/>
        <v>9</v>
      </c>
      <c r="J133" t="str">
        <f t="shared" si="9"/>
        <v>Sep</v>
      </c>
      <c r="K133">
        <f t="shared" si="10"/>
        <v>6</v>
      </c>
      <c r="L133" t="str">
        <f t="shared" si="11"/>
        <v>Fri</v>
      </c>
    </row>
    <row r="134" spans="1:12" x14ac:dyDescent="0.25">
      <c r="A134" s="1">
        <v>45828</v>
      </c>
      <c r="B134" t="s">
        <v>16</v>
      </c>
      <c r="C134" t="s">
        <v>9</v>
      </c>
      <c r="D134" t="s">
        <v>19</v>
      </c>
      <c r="E134" t="s">
        <v>26</v>
      </c>
      <c r="F134">
        <v>1</v>
      </c>
      <c r="G134">
        <v>1958.24</v>
      </c>
      <c r="H134">
        <v>1958.24</v>
      </c>
      <c r="I134">
        <f t="shared" si="8"/>
        <v>6</v>
      </c>
      <c r="J134" t="str">
        <f t="shared" si="9"/>
        <v>Jun</v>
      </c>
      <c r="K134">
        <f t="shared" si="10"/>
        <v>6</v>
      </c>
      <c r="L134" t="str">
        <f t="shared" si="11"/>
        <v>Fri</v>
      </c>
    </row>
    <row r="135" spans="1:12" x14ac:dyDescent="0.25">
      <c r="A135" s="1">
        <v>45985</v>
      </c>
      <c r="B135" t="s">
        <v>39</v>
      </c>
      <c r="C135" t="s">
        <v>9</v>
      </c>
      <c r="D135" t="s">
        <v>10</v>
      </c>
      <c r="E135" t="s">
        <v>11</v>
      </c>
      <c r="F135">
        <v>17</v>
      </c>
      <c r="G135">
        <v>18156.55</v>
      </c>
      <c r="H135">
        <v>308661.34999999998</v>
      </c>
      <c r="I135">
        <f t="shared" si="8"/>
        <v>11</v>
      </c>
      <c r="J135" t="str">
        <f t="shared" si="9"/>
        <v>Nov</v>
      </c>
      <c r="K135">
        <f t="shared" si="10"/>
        <v>2</v>
      </c>
      <c r="L135" t="str">
        <f t="shared" si="11"/>
        <v>Mon</v>
      </c>
    </row>
    <row r="136" spans="1:12" x14ac:dyDescent="0.25">
      <c r="A136" s="1">
        <v>45892</v>
      </c>
      <c r="B136" t="s">
        <v>16</v>
      </c>
      <c r="C136" t="s">
        <v>21</v>
      </c>
      <c r="D136" t="s">
        <v>17</v>
      </c>
      <c r="E136" t="s">
        <v>11</v>
      </c>
      <c r="F136">
        <v>9</v>
      </c>
      <c r="G136">
        <v>2057.5</v>
      </c>
      <c r="H136">
        <v>18517.5</v>
      </c>
      <c r="I136">
        <f t="shared" si="8"/>
        <v>8</v>
      </c>
      <c r="J136" t="str">
        <f t="shared" si="9"/>
        <v>Aug</v>
      </c>
      <c r="K136">
        <f t="shared" si="10"/>
        <v>7</v>
      </c>
      <c r="L136" t="str">
        <f t="shared" si="11"/>
        <v>Sat</v>
      </c>
    </row>
    <row r="137" spans="1:12" x14ac:dyDescent="0.25">
      <c r="A137" s="1">
        <v>45692</v>
      </c>
      <c r="B137" t="s">
        <v>39</v>
      </c>
      <c r="C137" t="s">
        <v>21</v>
      </c>
      <c r="D137" t="s">
        <v>19</v>
      </c>
      <c r="E137" t="s">
        <v>15</v>
      </c>
      <c r="F137">
        <v>8</v>
      </c>
      <c r="G137">
        <v>17951.47</v>
      </c>
      <c r="H137">
        <v>143611.76</v>
      </c>
      <c r="I137">
        <f t="shared" si="8"/>
        <v>2</v>
      </c>
      <c r="J137" t="str">
        <f t="shared" si="9"/>
        <v>Feb</v>
      </c>
      <c r="K137">
        <f t="shared" si="10"/>
        <v>3</v>
      </c>
      <c r="L137" t="str">
        <f t="shared" si="11"/>
        <v>Tue</v>
      </c>
    </row>
    <row r="138" spans="1:12" x14ac:dyDescent="0.25">
      <c r="A138" s="1">
        <v>45885</v>
      </c>
      <c r="B138" t="s">
        <v>23</v>
      </c>
      <c r="C138" t="s">
        <v>9</v>
      </c>
      <c r="D138" t="s">
        <v>17</v>
      </c>
      <c r="E138" t="s">
        <v>15</v>
      </c>
      <c r="F138">
        <v>19</v>
      </c>
      <c r="G138">
        <v>879.29</v>
      </c>
      <c r="H138">
        <v>16706.509999999998</v>
      </c>
      <c r="I138">
        <f t="shared" si="8"/>
        <v>8</v>
      </c>
      <c r="J138" t="str">
        <f t="shared" si="9"/>
        <v>Aug</v>
      </c>
      <c r="K138">
        <f t="shared" si="10"/>
        <v>7</v>
      </c>
      <c r="L138" t="str">
        <f t="shared" si="11"/>
        <v>Sat</v>
      </c>
    </row>
    <row r="139" spans="1:12" x14ac:dyDescent="0.25">
      <c r="A139" s="1">
        <v>45718</v>
      </c>
      <c r="B139" t="s">
        <v>8</v>
      </c>
      <c r="C139" t="s">
        <v>9</v>
      </c>
      <c r="D139" t="s">
        <v>17</v>
      </c>
      <c r="E139" t="s">
        <v>26</v>
      </c>
      <c r="F139">
        <v>18</v>
      </c>
      <c r="G139">
        <v>1427.95</v>
      </c>
      <c r="H139">
        <v>25703.1</v>
      </c>
      <c r="I139">
        <f t="shared" si="8"/>
        <v>3</v>
      </c>
      <c r="J139" t="str">
        <f t="shared" si="9"/>
        <v>Mar</v>
      </c>
      <c r="K139">
        <f t="shared" si="10"/>
        <v>1</v>
      </c>
      <c r="L139" t="str">
        <f t="shared" si="11"/>
        <v>Sun</v>
      </c>
    </row>
    <row r="140" spans="1:12" x14ac:dyDescent="0.25">
      <c r="A140" s="1">
        <v>45951</v>
      </c>
      <c r="B140" t="s">
        <v>41</v>
      </c>
      <c r="C140" t="s">
        <v>21</v>
      </c>
      <c r="D140" t="s">
        <v>19</v>
      </c>
      <c r="E140" t="s">
        <v>11</v>
      </c>
      <c r="F140">
        <v>6</v>
      </c>
      <c r="G140">
        <v>614.32000000000005</v>
      </c>
      <c r="H140">
        <v>3685.92</v>
      </c>
      <c r="I140">
        <f t="shared" si="8"/>
        <v>10</v>
      </c>
      <c r="J140" t="str">
        <f t="shared" si="9"/>
        <v>Oct</v>
      </c>
      <c r="K140">
        <f t="shared" si="10"/>
        <v>3</v>
      </c>
      <c r="L140" t="str">
        <f t="shared" si="11"/>
        <v>Tue</v>
      </c>
    </row>
    <row r="141" spans="1:12" x14ac:dyDescent="0.25">
      <c r="A141" s="1">
        <v>45727</v>
      </c>
      <c r="B141" t="s">
        <v>39</v>
      </c>
      <c r="C141" t="s">
        <v>9</v>
      </c>
      <c r="D141" t="s">
        <v>17</v>
      </c>
      <c r="E141" t="s">
        <v>22</v>
      </c>
      <c r="F141">
        <v>15</v>
      </c>
      <c r="G141">
        <v>13955.02</v>
      </c>
      <c r="H141">
        <v>209325.3</v>
      </c>
      <c r="I141">
        <f t="shared" si="8"/>
        <v>3</v>
      </c>
      <c r="J141" t="str">
        <f t="shared" si="9"/>
        <v>Mar</v>
      </c>
      <c r="K141">
        <f t="shared" si="10"/>
        <v>3</v>
      </c>
      <c r="L141" t="str">
        <f t="shared" si="11"/>
        <v>Tue</v>
      </c>
    </row>
    <row r="142" spans="1:12" x14ac:dyDescent="0.25">
      <c r="A142" s="1">
        <v>45965</v>
      </c>
      <c r="B142" t="s">
        <v>41</v>
      </c>
      <c r="C142" t="s">
        <v>13</v>
      </c>
      <c r="D142" t="s">
        <v>10</v>
      </c>
      <c r="E142" t="s">
        <v>11</v>
      </c>
      <c r="F142">
        <v>6</v>
      </c>
      <c r="G142">
        <v>758.34</v>
      </c>
      <c r="H142">
        <v>4550.04</v>
      </c>
      <c r="I142">
        <f t="shared" si="8"/>
        <v>11</v>
      </c>
      <c r="J142" t="str">
        <f t="shared" si="9"/>
        <v>Nov</v>
      </c>
      <c r="K142">
        <f t="shared" si="10"/>
        <v>3</v>
      </c>
      <c r="L142" t="str">
        <f t="shared" si="11"/>
        <v>Tue</v>
      </c>
    </row>
    <row r="143" spans="1:12" x14ac:dyDescent="0.25">
      <c r="A143" s="1">
        <v>45835</v>
      </c>
      <c r="B143" t="s">
        <v>41</v>
      </c>
      <c r="C143" t="s">
        <v>21</v>
      </c>
      <c r="D143" t="s">
        <v>19</v>
      </c>
      <c r="E143" t="s">
        <v>27</v>
      </c>
      <c r="F143">
        <v>15</v>
      </c>
      <c r="G143">
        <v>736.31</v>
      </c>
      <c r="H143">
        <v>11044.65</v>
      </c>
      <c r="I143">
        <f t="shared" si="8"/>
        <v>6</v>
      </c>
      <c r="J143" t="str">
        <f t="shared" si="9"/>
        <v>Jun</v>
      </c>
      <c r="K143">
        <f t="shared" si="10"/>
        <v>6</v>
      </c>
      <c r="L143" t="str">
        <f t="shared" si="11"/>
        <v>Fri</v>
      </c>
    </row>
    <row r="144" spans="1:12" x14ac:dyDescent="0.25">
      <c r="A144" s="1">
        <v>45945</v>
      </c>
      <c r="B144" t="s">
        <v>8</v>
      </c>
      <c r="C144" t="s">
        <v>21</v>
      </c>
      <c r="D144" t="s">
        <v>10</v>
      </c>
      <c r="E144" t="s">
        <v>11</v>
      </c>
      <c r="F144">
        <v>4</v>
      </c>
      <c r="G144">
        <v>1558.34</v>
      </c>
      <c r="H144">
        <v>6233.36</v>
      </c>
      <c r="I144">
        <f t="shared" si="8"/>
        <v>10</v>
      </c>
      <c r="J144" t="str">
        <f t="shared" si="9"/>
        <v>Oct</v>
      </c>
      <c r="K144">
        <f t="shared" si="10"/>
        <v>4</v>
      </c>
      <c r="L144" t="str">
        <f t="shared" si="11"/>
        <v>Wed</v>
      </c>
    </row>
    <row r="145" spans="1:12" x14ac:dyDescent="0.25">
      <c r="A145" s="1">
        <v>45753</v>
      </c>
      <c r="B145" t="s">
        <v>24</v>
      </c>
      <c r="C145" t="s">
        <v>13</v>
      </c>
      <c r="D145" t="s">
        <v>10</v>
      </c>
      <c r="E145" t="s">
        <v>22</v>
      </c>
      <c r="F145">
        <v>4</v>
      </c>
      <c r="G145">
        <v>1041.93</v>
      </c>
      <c r="H145">
        <v>4167.72</v>
      </c>
      <c r="I145">
        <f t="shared" si="8"/>
        <v>4</v>
      </c>
      <c r="J145" t="str">
        <f t="shared" si="9"/>
        <v>Apr</v>
      </c>
      <c r="K145">
        <f t="shared" si="10"/>
        <v>1</v>
      </c>
      <c r="L145" t="str">
        <f t="shared" si="11"/>
        <v>Sun</v>
      </c>
    </row>
    <row r="146" spans="1:12" x14ac:dyDescent="0.25">
      <c r="A146" s="1">
        <v>45667</v>
      </c>
      <c r="B146" t="s">
        <v>24</v>
      </c>
      <c r="C146" t="s">
        <v>13</v>
      </c>
      <c r="D146" t="s">
        <v>14</v>
      </c>
      <c r="E146" t="s">
        <v>18</v>
      </c>
      <c r="F146">
        <v>6</v>
      </c>
      <c r="G146">
        <v>1021.89</v>
      </c>
      <c r="H146">
        <v>6131.34</v>
      </c>
      <c r="I146">
        <f t="shared" si="8"/>
        <v>1</v>
      </c>
      <c r="J146" t="str">
        <f t="shared" si="9"/>
        <v>Jan</v>
      </c>
      <c r="K146">
        <f t="shared" si="10"/>
        <v>6</v>
      </c>
      <c r="L146" t="str">
        <f t="shared" si="11"/>
        <v>Fri</v>
      </c>
    </row>
    <row r="147" spans="1:12" x14ac:dyDescent="0.25">
      <c r="A147" s="1">
        <v>45959</v>
      </c>
      <c r="B147" t="s">
        <v>8</v>
      </c>
      <c r="C147" t="s">
        <v>9</v>
      </c>
      <c r="D147" t="s">
        <v>19</v>
      </c>
      <c r="E147" t="s">
        <v>27</v>
      </c>
      <c r="F147">
        <v>15</v>
      </c>
      <c r="G147">
        <v>1414.05</v>
      </c>
      <c r="H147">
        <v>21210.75</v>
      </c>
      <c r="I147">
        <f t="shared" si="8"/>
        <v>10</v>
      </c>
      <c r="J147" t="str">
        <f t="shared" si="9"/>
        <v>Oct</v>
      </c>
      <c r="K147">
        <f t="shared" si="10"/>
        <v>4</v>
      </c>
      <c r="L147" t="str">
        <f t="shared" si="11"/>
        <v>Wed</v>
      </c>
    </row>
    <row r="148" spans="1:12" x14ac:dyDescent="0.25">
      <c r="A148" s="1">
        <v>45917</v>
      </c>
      <c r="B148" t="s">
        <v>8</v>
      </c>
      <c r="C148" t="s">
        <v>9</v>
      </c>
      <c r="D148" t="s">
        <v>14</v>
      </c>
      <c r="E148" t="s">
        <v>11</v>
      </c>
      <c r="F148">
        <v>19</v>
      </c>
      <c r="G148">
        <v>1339.64</v>
      </c>
      <c r="H148">
        <v>25453.16</v>
      </c>
      <c r="I148">
        <f t="shared" si="8"/>
        <v>9</v>
      </c>
      <c r="J148" t="str">
        <f t="shared" si="9"/>
        <v>Sep</v>
      </c>
      <c r="K148">
        <f t="shared" si="10"/>
        <v>4</v>
      </c>
      <c r="L148" t="str">
        <f t="shared" si="11"/>
        <v>Wed</v>
      </c>
    </row>
    <row r="149" spans="1:12" x14ac:dyDescent="0.25">
      <c r="A149" s="1">
        <v>45948</v>
      </c>
      <c r="B149" t="s">
        <v>12</v>
      </c>
      <c r="C149" t="s">
        <v>13</v>
      </c>
      <c r="D149" t="s">
        <v>10</v>
      </c>
      <c r="E149" t="s">
        <v>22</v>
      </c>
      <c r="F149">
        <v>11</v>
      </c>
      <c r="G149">
        <v>1147.9000000000001</v>
      </c>
      <c r="H149">
        <v>12626.9</v>
      </c>
      <c r="I149">
        <f t="shared" si="8"/>
        <v>10</v>
      </c>
      <c r="J149" t="str">
        <f t="shared" si="9"/>
        <v>Oct</v>
      </c>
      <c r="K149">
        <f t="shared" si="10"/>
        <v>7</v>
      </c>
      <c r="L149" t="str">
        <f t="shared" si="11"/>
        <v>Sat</v>
      </c>
    </row>
    <row r="150" spans="1:12" x14ac:dyDescent="0.25">
      <c r="A150" s="1">
        <v>46016</v>
      </c>
      <c r="B150" t="s">
        <v>25</v>
      </c>
      <c r="C150" t="s">
        <v>21</v>
      </c>
      <c r="D150" t="s">
        <v>19</v>
      </c>
      <c r="E150" t="s">
        <v>26</v>
      </c>
      <c r="F150">
        <v>14</v>
      </c>
      <c r="G150">
        <v>3741.4</v>
      </c>
      <c r="H150">
        <v>52379.6</v>
      </c>
      <c r="I150">
        <f t="shared" si="8"/>
        <v>12</v>
      </c>
      <c r="J150" t="str">
        <f t="shared" si="9"/>
        <v>Dec</v>
      </c>
      <c r="K150">
        <f t="shared" si="10"/>
        <v>5</v>
      </c>
      <c r="L150" t="str">
        <f t="shared" si="11"/>
        <v>Thu</v>
      </c>
    </row>
    <row r="151" spans="1:12" x14ac:dyDescent="0.25">
      <c r="A151" s="1">
        <v>45874</v>
      </c>
      <c r="B151" t="s">
        <v>41</v>
      </c>
      <c r="C151" t="s">
        <v>21</v>
      </c>
      <c r="D151" t="s">
        <v>14</v>
      </c>
      <c r="E151" t="s">
        <v>18</v>
      </c>
      <c r="F151">
        <v>1</v>
      </c>
      <c r="G151">
        <v>426.52</v>
      </c>
      <c r="H151">
        <v>426.52</v>
      </c>
      <c r="I151">
        <f t="shared" si="8"/>
        <v>8</v>
      </c>
      <c r="J151" t="str">
        <f t="shared" si="9"/>
        <v>Aug</v>
      </c>
      <c r="K151">
        <f t="shared" si="10"/>
        <v>3</v>
      </c>
      <c r="L151" t="str">
        <f t="shared" si="11"/>
        <v>Tue</v>
      </c>
    </row>
    <row r="152" spans="1:12" x14ac:dyDescent="0.25">
      <c r="A152" s="1">
        <v>45972</v>
      </c>
      <c r="B152" t="s">
        <v>8</v>
      </c>
      <c r="C152" t="s">
        <v>9</v>
      </c>
      <c r="D152" t="s">
        <v>19</v>
      </c>
      <c r="E152" t="s">
        <v>15</v>
      </c>
      <c r="F152">
        <v>8</v>
      </c>
      <c r="G152">
        <v>1308.98</v>
      </c>
      <c r="H152">
        <v>10471.84</v>
      </c>
      <c r="I152">
        <f t="shared" si="8"/>
        <v>11</v>
      </c>
      <c r="J152" t="str">
        <f t="shared" si="9"/>
        <v>Nov</v>
      </c>
      <c r="K152">
        <f t="shared" si="10"/>
        <v>3</v>
      </c>
      <c r="L152" t="str">
        <f t="shared" si="11"/>
        <v>Tue</v>
      </c>
    </row>
    <row r="153" spans="1:12" x14ac:dyDescent="0.25">
      <c r="A153" s="1">
        <v>45748</v>
      </c>
      <c r="B153" t="s">
        <v>12</v>
      </c>
      <c r="C153" t="s">
        <v>9</v>
      </c>
      <c r="D153" t="s">
        <v>14</v>
      </c>
      <c r="E153" t="s">
        <v>11</v>
      </c>
      <c r="F153">
        <v>14</v>
      </c>
      <c r="G153">
        <v>1134.56</v>
      </c>
      <c r="H153">
        <v>15883.84</v>
      </c>
      <c r="I153">
        <f t="shared" si="8"/>
        <v>4</v>
      </c>
      <c r="J153" t="str">
        <f t="shared" si="9"/>
        <v>Apr</v>
      </c>
      <c r="K153">
        <f t="shared" si="10"/>
        <v>3</v>
      </c>
      <c r="L153" t="str">
        <f t="shared" si="11"/>
        <v>Tue</v>
      </c>
    </row>
    <row r="154" spans="1:12" x14ac:dyDescent="0.25">
      <c r="A154" s="1">
        <v>45870</v>
      </c>
      <c r="B154" t="s">
        <v>20</v>
      </c>
      <c r="C154" t="s">
        <v>9</v>
      </c>
      <c r="D154" t="s">
        <v>14</v>
      </c>
      <c r="E154" t="s">
        <v>15</v>
      </c>
      <c r="F154">
        <v>14</v>
      </c>
      <c r="G154">
        <v>1217.69</v>
      </c>
      <c r="H154">
        <v>17047.66</v>
      </c>
      <c r="I154">
        <f t="shared" si="8"/>
        <v>8</v>
      </c>
      <c r="J154" t="str">
        <f t="shared" si="9"/>
        <v>Aug</v>
      </c>
      <c r="K154">
        <f t="shared" si="10"/>
        <v>6</v>
      </c>
      <c r="L154" t="str">
        <f t="shared" si="11"/>
        <v>Fri</v>
      </c>
    </row>
    <row r="155" spans="1:12" x14ac:dyDescent="0.25">
      <c r="A155" s="1">
        <v>45969</v>
      </c>
      <c r="B155" t="s">
        <v>39</v>
      </c>
      <c r="C155" t="s">
        <v>13</v>
      </c>
      <c r="D155" t="s">
        <v>14</v>
      </c>
      <c r="E155" t="s">
        <v>11</v>
      </c>
      <c r="F155">
        <v>8</v>
      </c>
      <c r="G155">
        <v>15971.05</v>
      </c>
      <c r="H155">
        <v>127768.4</v>
      </c>
      <c r="I155">
        <f t="shared" si="8"/>
        <v>11</v>
      </c>
      <c r="J155" t="str">
        <f t="shared" si="9"/>
        <v>Nov</v>
      </c>
      <c r="K155">
        <f t="shared" si="10"/>
        <v>7</v>
      </c>
      <c r="L155" t="str">
        <f t="shared" si="11"/>
        <v>Sat</v>
      </c>
    </row>
    <row r="156" spans="1:12" x14ac:dyDescent="0.25">
      <c r="A156" s="1">
        <v>45965</v>
      </c>
      <c r="B156" t="s">
        <v>40</v>
      </c>
      <c r="C156" t="s">
        <v>21</v>
      </c>
      <c r="D156" t="s">
        <v>19</v>
      </c>
      <c r="E156" t="s">
        <v>15</v>
      </c>
      <c r="F156">
        <v>9</v>
      </c>
      <c r="G156">
        <v>3842.8</v>
      </c>
      <c r="H156">
        <v>34585.199999999997</v>
      </c>
      <c r="I156">
        <f t="shared" si="8"/>
        <v>11</v>
      </c>
      <c r="J156" t="str">
        <f t="shared" si="9"/>
        <v>Nov</v>
      </c>
      <c r="K156">
        <f t="shared" si="10"/>
        <v>3</v>
      </c>
      <c r="L156" t="str">
        <f t="shared" si="11"/>
        <v>Tue</v>
      </c>
    </row>
    <row r="157" spans="1:12" x14ac:dyDescent="0.25">
      <c r="A157" s="1">
        <v>45900</v>
      </c>
      <c r="B157" t="s">
        <v>40</v>
      </c>
      <c r="C157" t="s">
        <v>21</v>
      </c>
      <c r="D157" t="s">
        <v>10</v>
      </c>
      <c r="E157" t="s">
        <v>26</v>
      </c>
      <c r="F157">
        <v>7</v>
      </c>
      <c r="G157">
        <v>4540.8599999999997</v>
      </c>
      <c r="H157">
        <v>31786.02</v>
      </c>
      <c r="I157">
        <f t="shared" si="8"/>
        <v>8</v>
      </c>
      <c r="J157" t="str">
        <f t="shared" si="9"/>
        <v>Aug</v>
      </c>
      <c r="K157">
        <f t="shared" si="10"/>
        <v>1</v>
      </c>
      <c r="L157" t="str">
        <f t="shared" si="11"/>
        <v>Sun</v>
      </c>
    </row>
    <row r="158" spans="1:12" x14ac:dyDescent="0.25">
      <c r="A158" s="1">
        <v>46003</v>
      </c>
      <c r="B158" t="s">
        <v>39</v>
      </c>
      <c r="C158" t="s">
        <v>13</v>
      </c>
      <c r="D158" t="s">
        <v>10</v>
      </c>
      <c r="E158" t="s">
        <v>18</v>
      </c>
      <c r="F158">
        <v>19</v>
      </c>
      <c r="G158">
        <v>12734.04</v>
      </c>
      <c r="H158">
        <v>241946.76</v>
      </c>
      <c r="I158">
        <f t="shared" si="8"/>
        <v>12</v>
      </c>
      <c r="J158" t="str">
        <f t="shared" si="9"/>
        <v>Dec</v>
      </c>
      <c r="K158">
        <f t="shared" si="10"/>
        <v>6</v>
      </c>
      <c r="L158" t="str">
        <f t="shared" si="11"/>
        <v>Fri</v>
      </c>
    </row>
    <row r="159" spans="1:12" x14ac:dyDescent="0.25">
      <c r="A159" s="1">
        <v>45682</v>
      </c>
      <c r="B159" t="s">
        <v>20</v>
      </c>
      <c r="C159" t="s">
        <v>21</v>
      </c>
      <c r="D159" t="s">
        <v>17</v>
      </c>
      <c r="E159" t="s">
        <v>22</v>
      </c>
      <c r="F159">
        <v>17</v>
      </c>
      <c r="G159">
        <v>1752.45</v>
      </c>
      <c r="H159">
        <v>29791.65</v>
      </c>
      <c r="I159">
        <f t="shared" si="8"/>
        <v>1</v>
      </c>
      <c r="J159" t="str">
        <f t="shared" si="9"/>
        <v>Jan</v>
      </c>
      <c r="K159">
        <f t="shared" si="10"/>
        <v>7</v>
      </c>
      <c r="L159" t="str">
        <f t="shared" si="11"/>
        <v>Sat</v>
      </c>
    </row>
    <row r="160" spans="1:12" x14ac:dyDescent="0.25">
      <c r="A160" s="1">
        <v>45806</v>
      </c>
      <c r="B160" t="s">
        <v>12</v>
      </c>
      <c r="C160" t="s">
        <v>21</v>
      </c>
      <c r="D160" t="s">
        <v>17</v>
      </c>
      <c r="E160" t="s">
        <v>22</v>
      </c>
      <c r="F160">
        <v>7</v>
      </c>
      <c r="G160">
        <v>1156.79</v>
      </c>
      <c r="H160">
        <v>8097.53</v>
      </c>
      <c r="I160">
        <f t="shared" si="8"/>
        <v>5</v>
      </c>
      <c r="J160" t="str">
        <f t="shared" si="9"/>
        <v>May</v>
      </c>
      <c r="K160">
        <f t="shared" si="10"/>
        <v>5</v>
      </c>
      <c r="L160" t="str">
        <f t="shared" si="11"/>
        <v>Thu</v>
      </c>
    </row>
    <row r="161" spans="1:12" x14ac:dyDescent="0.25">
      <c r="A161" s="1">
        <v>46017</v>
      </c>
      <c r="B161" t="s">
        <v>39</v>
      </c>
      <c r="C161" t="s">
        <v>21</v>
      </c>
      <c r="D161" t="s">
        <v>14</v>
      </c>
      <c r="E161" t="s">
        <v>18</v>
      </c>
      <c r="F161">
        <v>8</v>
      </c>
      <c r="G161">
        <v>15019.76</v>
      </c>
      <c r="H161">
        <v>120158.08</v>
      </c>
      <c r="I161">
        <f t="shared" si="8"/>
        <v>12</v>
      </c>
      <c r="J161" t="str">
        <f t="shared" si="9"/>
        <v>Dec</v>
      </c>
      <c r="K161">
        <f t="shared" si="10"/>
        <v>6</v>
      </c>
      <c r="L161" t="str">
        <f t="shared" si="11"/>
        <v>Fri</v>
      </c>
    </row>
    <row r="162" spans="1:12" x14ac:dyDescent="0.25">
      <c r="A162" s="1">
        <v>45913</v>
      </c>
      <c r="B162" t="s">
        <v>20</v>
      </c>
      <c r="C162" t="s">
        <v>13</v>
      </c>
      <c r="D162" t="s">
        <v>10</v>
      </c>
      <c r="E162" t="s">
        <v>11</v>
      </c>
      <c r="F162">
        <v>17</v>
      </c>
      <c r="G162">
        <v>1082.8900000000001</v>
      </c>
      <c r="H162">
        <v>18409.13</v>
      </c>
      <c r="I162">
        <f t="shared" si="8"/>
        <v>9</v>
      </c>
      <c r="J162" t="str">
        <f t="shared" si="9"/>
        <v>Sep</v>
      </c>
      <c r="K162">
        <f t="shared" si="10"/>
        <v>7</v>
      </c>
      <c r="L162" t="str">
        <f t="shared" si="11"/>
        <v>Sat</v>
      </c>
    </row>
    <row r="163" spans="1:12" x14ac:dyDescent="0.25">
      <c r="A163" s="1">
        <v>45942</v>
      </c>
      <c r="B163" t="s">
        <v>41</v>
      </c>
      <c r="C163" t="s">
        <v>13</v>
      </c>
      <c r="D163" t="s">
        <v>14</v>
      </c>
      <c r="E163" t="s">
        <v>18</v>
      </c>
      <c r="F163">
        <v>14</v>
      </c>
      <c r="G163">
        <v>677.06</v>
      </c>
      <c r="H163">
        <v>9478.84</v>
      </c>
      <c r="I163">
        <f t="shared" si="8"/>
        <v>10</v>
      </c>
      <c r="J163" t="str">
        <f t="shared" si="9"/>
        <v>Oct</v>
      </c>
      <c r="K163">
        <f t="shared" si="10"/>
        <v>1</v>
      </c>
      <c r="L163" t="str">
        <f t="shared" si="11"/>
        <v>Sun</v>
      </c>
    </row>
    <row r="164" spans="1:12" x14ac:dyDescent="0.25">
      <c r="A164" s="1">
        <v>45850</v>
      </c>
      <c r="B164" t="s">
        <v>25</v>
      </c>
      <c r="C164" t="s">
        <v>9</v>
      </c>
      <c r="D164" t="s">
        <v>14</v>
      </c>
      <c r="E164" t="s">
        <v>11</v>
      </c>
      <c r="F164">
        <v>4</v>
      </c>
      <c r="G164">
        <v>2832.05</v>
      </c>
      <c r="H164">
        <v>11328.2</v>
      </c>
      <c r="I164">
        <f t="shared" si="8"/>
        <v>7</v>
      </c>
      <c r="J164" t="str">
        <f t="shared" si="9"/>
        <v>Jul</v>
      </c>
      <c r="K164">
        <f t="shared" si="10"/>
        <v>7</v>
      </c>
      <c r="L164" t="str">
        <f t="shared" si="11"/>
        <v>Sat</v>
      </c>
    </row>
    <row r="165" spans="1:12" x14ac:dyDescent="0.25">
      <c r="A165" s="1">
        <v>45712</v>
      </c>
      <c r="B165" t="s">
        <v>20</v>
      </c>
      <c r="C165" t="s">
        <v>13</v>
      </c>
      <c r="D165" t="s">
        <v>19</v>
      </c>
      <c r="E165" t="s">
        <v>26</v>
      </c>
      <c r="F165">
        <v>10</v>
      </c>
      <c r="G165">
        <v>1857.69</v>
      </c>
      <c r="H165">
        <v>18576.900000000001</v>
      </c>
      <c r="I165">
        <f t="shared" si="8"/>
        <v>2</v>
      </c>
      <c r="J165" t="str">
        <f t="shared" si="9"/>
        <v>Feb</v>
      </c>
      <c r="K165">
        <f t="shared" si="10"/>
        <v>2</v>
      </c>
      <c r="L165" t="str">
        <f t="shared" si="11"/>
        <v>Mon</v>
      </c>
    </row>
    <row r="166" spans="1:12" x14ac:dyDescent="0.25">
      <c r="A166" s="1">
        <v>45818</v>
      </c>
      <c r="B166" t="s">
        <v>39</v>
      </c>
      <c r="C166" t="s">
        <v>13</v>
      </c>
      <c r="D166" t="s">
        <v>10</v>
      </c>
      <c r="E166" t="s">
        <v>18</v>
      </c>
      <c r="F166">
        <v>18</v>
      </c>
      <c r="G166">
        <v>18302.939999999999</v>
      </c>
      <c r="H166">
        <v>329452.92</v>
      </c>
      <c r="I166">
        <f t="shared" si="8"/>
        <v>6</v>
      </c>
      <c r="J166" t="str">
        <f t="shared" si="9"/>
        <v>Jun</v>
      </c>
      <c r="K166">
        <f t="shared" si="10"/>
        <v>3</v>
      </c>
      <c r="L166" t="str">
        <f t="shared" si="11"/>
        <v>Tue</v>
      </c>
    </row>
    <row r="167" spans="1:12" x14ac:dyDescent="0.25">
      <c r="A167" s="1">
        <v>45665</v>
      </c>
      <c r="B167" t="s">
        <v>39</v>
      </c>
      <c r="C167" t="s">
        <v>9</v>
      </c>
      <c r="D167" t="s">
        <v>10</v>
      </c>
      <c r="E167" t="s">
        <v>11</v>
      </c>
      <c r="F167">
        <v>8</v>
      </c>
      <c r="G167">
        <v>11436.98</v>
      </c>
      <c r="H167">
        <v>91495.84</v>
      </c>
      <c r="I167">
        <f t="shared" si="8"/>
        <v>1</v>
      </c>
      <c r="J167" t="str">
        <f t="shared" si="9"/>
        <v>Jan</v>
      </c>
      <c r="K167">
        <f t="shared" si="10"/>
        <v>4</v>
      </c>
      <c r="L167" t="str">
        <f t="shared" si="11"/>
        <v>Wed</v>
      </c>
    </row>
    <row r="168" spans="1:12" x14ac:dyDescent="0.25">
      <c r="A168" s="1">
        <v>45895</v>
      </c>
      <c r="B168" t="s">
        <v>24</v>
      </c>
      <c r="C168" t="s">
        <v>13</v>
      </c>
      <c r="D168" t="s">
        <v>10</v>
      </c>
      <c r="E168" t="s">
        <v>22</v>
      </c>
      <c r="F168">
        <v>15</v>
      </c>
      <c r="G168">
        <v>1132.49</v>
      </c>
      <c r="H168">
        <v>16987.349999999999</v>
      </c>
      <c r="I168">
        <f t="shared" si="8"/>
        <v>8</v>
      </c>
      <c r="J168" t="str">
        <f t="shared" si="9"/>
        <v>Aug</v>
      </c>
      <c r="K168">
        <f t="shared" si="10"/>
        <v>3</v>
      </c>
      <c r="L168" t="str">
        <f t="shared" si="11"/>
        <v>Tue</v>
      </c>
    </row>
    <row r="169" spans="1:12" x14ac:dyDescent="0.25">
      <c r="A169" s="1">
        <v>45947</v>
      </c>
      <c r="B169" t="s">
        <v>41</v>
      </c>
      <c r="C169" t="s">
        <v>21</v>
      </c>
      <c r="D169" t="s">
        <v>19</v>
      </c>
      <c r="E169" t="s">
        <v>11</v>
      </c>
      <c r="F169">
        <v>16</v>
      </c>
      <c r="G169">
        <v>562.99</v>
      </c>
      <c r="H169">
        <v>9007.84</v>
      </c>
      <c r="I169">
        <f t="shared" si="8"/>
        <v>10</v>
      </c>
      <c r="J169" t="str">
        <f t="shared" si="9"/>
        <v>Oct</v>
      </c>
      <c r="K169">
        <f t="shared" si="10"/>
        <v>6</v>
      </c>
      <c r="L169" t="str">
        <f t="shared" si="11"/>
        <v>Fri</v>
      </c>
    </row>
    <row r="170" spans="1:12" x14ac:dyDescent="0.25">
      <c r="A170" s="1">
        <v>45821</v>
      </c>
      <c r="B170" t="s">
        <v>25</v>
      </c>
      <c r="C170" t="s">
        <v>9</v>
      </c>
      <c r="D170" t="s">
        <v>14</v>
      </c>
      <c r="E170" t="s">
        <v>26</v>
      </c>
      <c r="F170">
        <v>7</v>
      </c>
      <c r="G170">
        <v>3779.81</v>
      </c>
      <c r="H170">
        <v>26458.67</v>
      </c>
      <c r="I170">
        <f t="shared" si="8"/>
        <v>6</v>
      </c>
      <c r="J170" t="str">
        <f t="shared" si="9"/>
        <v>Jun</v>
      </c>
      <c r="K170">
        <f t="shared" si="10"/>
        <v>6</v>
      </c>
      <c r="L170" t="str">
        <f t="shared" si="11"/>
        <v>Fri</v>
      </c>
    </row>
    <row r="171" spans="1:12" x14ac:dyDescent="0.25">
      <c r="A171" s="1">
        <v>45817</v>
      </c>
      <c r="B171" t="s">
        <v>20</v>
      </c>
      <c r="C171" t="s">
        <v>9</v>
      </c>
      <c r="D171" t="s">
        <v>10</v>
      </c>
      <c r="E171" t="s">
        <v>22</v>
      </c>
      <c r="F171">
        <v>19</v>
      </c>
      <c r="G171">
        <v>1574.74</v>
      </c>
      <c r="H171">
        <v>29920.06</v>
      </c>
      <c r="I171">
        <f t="shared" si="8"/>
        <v>6</v>
      </c>
      <c r="J171" t="str">
        <f t="shared" si="9"/>
        <v>Jun</v>
      </c>
      <c r="K171">
        <f t="shared" si="10"/>
        <v>2</v>
      </c>
      <c r="L171" t="str">
        <f t="shared" si="11"/>
        <v>Mon</v>
      </c>
    </row>
    <row r="172" spans="1:12" x14ac:dyDescent="0.25">
      <c r="A172" s="1">
        <v>45844</v>
      </c>
      <c r="B172" t="s">
        <v>16</v>
      </c>
      <c r="C172" t="s">
        <v>21</v>
      </c>
      <c r="D172" t="s">
        <v>17</v>
      </c>
      <c r="E172" t="s">
        <v>15</v>
      </c>
      <c r="F172">
        <v>11</v>
      </c>
      <c r="G172">
        <v>2139.14</v>
      </c>
      <c r="H172">
        <v>23530.54</v>
      </c>
      <c r="I172">
        <f t="shared" si="8"/>
        <v>7</v>
      </c>
      <c r="J172" t="str">
        <f t="shared" si="9"/>
        <v>Jul</v>
      </c>
      <c r="K172">
        <f t="shared" si="10"/>
        <v>1</v>
      </c>
      <c r="L172" t="str">
        <f t="shared" si="11"/>
        <v>Sun</v>
      </c>
    </row>
    <row r="173" spans="1:12" x14ac:dyDescent="0.25">
      <c r="A173" s="1">
        <v>45851</v>
      </c>
      <c r="B173" t="s">
        <v>20</v>
      </c>
      <c r="C173" t="s">
        <v>13</v>
      </c>
      <c r="D173" t="s">
        <v>19</v>
      </c>
      <c r="E173" t="s">
        <v>27</v>
      </c>
      <c r="F173">
        <v>5</v>
      </c>
      <c r="G173">
        <v>1360.67</v>
      </c>
      <c r="H173">
        <v>6803.35</v>
      </c>
      <c r="I173">
        <f t="shared" si="8"/>
        <v>7</v>
      </c>
      <c r="J173" t="str">
        <f t="shared" si="9"/>
        <v>Jul</v>
      </c>
      <c r="K173">
        <f t="shared" si="10"/>
        <v>1</v>
      </c>
      <c r="L173" t="str">
        <f t="shared" si="11"/>
        <v>Sun</v>
      </c>
    </row>
    <row r="174" spans="1:12" x14ac:dyDescent="0.25">
      <c r="A174" s="1">
        <v>45912</v>
      </c>
      <c r="B174" t="s">
        <v>40</v>
      </c>
      <c r="C174" t="s">
        <v>21</v>
      </c>
      <c r="D174" t="s">
        <v>17</v>
      </c>
      <c r="E174" t="s">
        <v>18</v>
      </c>
      <c r="F174">
        <v>3</v>
      </c>
      <c r="G174">
        <v>6345.36</v>
      </c>
      <c r="H174">
        <v>19036.080000000002</v>
      </c>
      <c r="I174">
        <f t="shared" si="8"/>
        <v>9</v>
      </c>
      <c r="J174" t="str">
        <f t="shared" si="9"/>
        <v>Sep</v>
      </c>
      <c r="K174">
        <f t="shared" si="10"/>
        <v>6</v>
      </c>
      <c r="L174" t="str">
        <f t="shared" si="11"/>
        <v>Fri</v>
      </c>
    </row>
    <row r="175" spans="1:12" x14ac:dyDescent="0.25">
      <c r="A175" s="1">
        <v>45998</v>
      </c>
      <c r="B175" t="s">
        <v>41</v>
      </c>
      <c r="C175" t="s">
        <v>9</v>
      </c>
      <c r="D175" t="s">
        <v>14</v>
      </c>
      <c r="E175" t="s">
        <v>11</v>
      </c>
      <c r="F175">
        <v>14</v>
      </c>
      <c r="G175">
        <v>589.58000000000004</v>
      </c>
      <c r="H175">
        <v>8254.1200000000008</v>
      </c>
      <c r="I175">
        <f t="shared" si="8"/>
        <v>12</v>
      </c>
      <c r="J175" t="str">
        <f t="shared" si="9"/>
        <v>Dec</v>
      </c>
      <c r="K175">
        <f t="shared" si="10"/>
        <v>1</v>
      </c>
      <c r="L175" t="str">
        <f t="shared" si="11"/>
        <v>Sun</v>
      </c>
    </row>
    <row r="176" spans="1:12" x14ac:dyDescent="0.25">
      <c r="A176" s="1">
        <v>45880</v>
      </c>
      <c r="B176" t="s">
        <v>39</v>
      </c>
      <c r="C176" t="s">
        <v>21</v>
      </c>
      <c r="D176" t="s">
        <v>10</v>
      </c>
      <c r="E176" t="s">
        <v>22</v>
      </c>
      <c r="F176">
        <v>14</v>
      </c>
      <c r="G176">
        <v>17175.18</v>
      </c>
      <c r="H176">
        <v>240452.52</v>
      </c>
      <c r="I176">
        <f t="shared" si="8"/>
        <v>8</v>
      </c>
      <c r="J176" t="str">
        <f t="shared" si="9"/>
        <v>Aug</v>
      </c>
      <c r="K176">
        <f t="shared" si="10"/>
        <v>2</v>
      </c>
      <c r="L176" t="str">
        <f t="shared" si="11"/>
        <v>Mon</v>
      </c>
    </row>
    <row r="177" spans="1:12" x14ac:dyDescent="0.25">
      <c r="A177" s="1">
        <v>45893</v>
      </c>
      <c r="B177" t="s">
        <v>40</v>
      </c>
      <c r="C177" t="s">
        <v>13</v>
      </c>
      <c r="D177" t="s">
        <v>17</v>
      </c>
      <c r="E177" t="s">
        <v>11</v>
      </c>
      <c r="F177">
        <v>14</v>
      </c>
      <c r="G177">
        <v>6453.21</v>
      </c>
      <c r="H177">
        <v>90344.94</v>
      </c>
      <c r="I177">
        <f t="shared" si="8"/>
        <v>8</v>
      </c>
      <c r="J177" t="str">
        <f t="shared" si="9"/>
        <v>Aug</v>
      </c>
      <c r="K177">
        <f t="shared" si="10"/>
        <v>1</v>
      </c>
      <c r="L177" t="str">
        <f t="shared" si="11"/>
        <v>Sun</v>
      </c>
    </row>
    <row r="178" spans="1:12" x14ac:dyDescent="0.25">
      <c r="A178" s="1">
        <v>45686</v>
      </c>
      <c r="B178" t="s">
        <v>16</v>
      </c>
      <c r="C178" t="s">
        <v>13</v>
      </c>
      <c r="D178" t="s">
        <v>17</v>
      </c>
      <c r="E178" t="s">
        <v>11</v>
      </c>
      <c r="F178">
        <v>6</v>
      </c>
      <c r="G178">
        <v>3121.45</v>
      </c>
      <c r="H178">
        <v>18728.7</v>
      </c>
      <c r="I178">
        <f t="shared" si="8"/>
        <v>1</v>
      </c>
      <c r="J178" t="str">
        <f t="shared" si="9"/>
        <v>Jan</v>
      </c>
      <c r="K178">
        <f t="shared" si="10"/>
        <v>4</v>
      </c>
      <c r="L178" t="str">
        <f t="shared" si="11"/>
        <v>Wed</v>
      </c>
    </row>
    <row r="179" spans="1:12" x14ac:dyDescent="0.25">
      <c r="A179" s="1">
        <v>45997</v>
      </c>
      <c r="B179" t="s">
        <v>12</v>
      </c>
      <c r="C179" t="s">
        <v>9</v>
      </c>
      <c r="D179" t="s">
        <v>14</v>
      </c>
      <c r="E179" t="s">
        <v>26</v>
      </c>
      <c r="F179">
        <v>17</v>
      </c>
      <c r="G179">
        <v>848.83</v>
      </c>
      <c r="H179">
        <v>14430.11</v>
      </c>
      <c r="I179">
        <f t="shared" si="8"/>
        <v>12</v>
      </c>
      <c r="J179" t="str">
        <f t="shared" si="9"/>
        <v>Dec</v>
      </c>
      <c r="K179">
        <f t="shared" si="10"/>
        <v>7</v>
      </c>
      <c r="L179" t="str">
        <f t="shared" si="11"/>
        <v>Sat</v>
      </c>
    </row>
    <row r="180" spans="1:12" x14ac:dyDescent="0.25">
      <c r="A180" s="1">
        <v>45732</v>
      </c>
      <c r="B180" t="s">
        <v>20</v>
      </c>
      <c r="C180" t="s">
        <v>9</v>
      </c>
      <c r="D180" t="s">
        <v>14</v>
      </c>
      <c r="E180" t="s">
        <v>15</v>
      </c>
      <c r="F180">
        <v>6</v>
      </c>
      <c r="G180">
        <v>1708.97</v>
      </c>
      <c r="H180">
        <v>10253.82</v>
      </c>
      <c r="I180">
        <f t="shared" si="8"/>
        <v>3</v>
      </c>
      <c r="J180" t="str">
        <f t="shared" si="9"/>
        <v>Mar</v>
      </c>
      <c r="K180">
        <f t="shared" si="10"/>
        <v>1</v>
      </c>
      <c r="L180" t="str">
        <f t="shared" si="11"/>
        <v>Sun</v>
      </c>
    </row>
    <row r="181" spans="1:12" x14ac:dyDescent="0.25">
      <c r="A181" s="1">
        <v>45754</v>
      </c>
      <c r="B181" t="s">
        <v>40</v>
      </c>
      <c r="C181" t="s">
        <v>9</v>
      </c>
      <c r="D181" t="s">
        <v>10</v>
      </c>
      <c r="E181" t="s">
        <v>26</v>
      </c>
      <c r="F181">
        <v>13</v>
      </c>
      <c r="G181">
        <v>6014.32</v>
      </c>
      <c r="H181">
        <v>78186.16</v>
      </c>
      <c r="I181">
        <f t="shared" si="8"/>
        <v>4</v>
      </c>
      <c r="J181" t="str">
        <f t="shared" si="9"/>
        <v>Apr</v>
      </c>
      <c r="K181">
        <f t="shared" si="10"/>
        <v>2</v>
      </c>
      <c r="L181" t="str">
        <f t="shared" si="11"/>
        <v>Mon</v>
      </c>
    </row>
    <row r="182" spans="1:12" x14ac:dyDescent="0.25">
      <c r="A182" s="1">
        <v>45846</v>
      </c>
      <c r="B182" t="s">
        <v>12</v>
      </c>
      <c r="C182" t="s">
        <v>21</v>
      </c>
      <c r="D182" t="s">
        <v>19</v>
      </c>
      <c r="E182" t="s">
        <v>26</v>
      </c>
      <c r="F182">
        <v>11</v>
      </c>
      <c r="G182">
        <v>729.56</v>
      </c>
      <c r="H182">
        <v>8025.16</v>
      </c>
      <c r="I182">
        <f t="shared" si="8"/>
        <v>7</v>
      </c>
      <c r="J182" t="str">
        <f t="shared" si="9"/>
        <v>Jul</v>
      </c>
      <c r="K182">
        <f t="shared" si="10"/>
        <v>3</v>
      </c>
      <c r="L182" t="str">
        <f t="shared" si="11"/>
        <v>Tue</v>
      </c>
    </row>
    <row r="183" spans="1:12" x14ac:dyDescent="0.25">
      <c r="A183" s="1">
        <v>45837</v>
      </c>
      <c r="B183" t="s">
        <v>8</v>
      </c>
      <c r="C183" t="s">
        <v>13</v>
      </c>
      <c r="D183" t="s">
        <v>14</v>
      </c>
      <c r="E183" t="s">
        <v>15</v>
      </c>
      <c r="F183">
        <v>11</v>
      </c>
      <c r="G183">
        <v>1047.8599999999999</v>
      </c>
      <c r="H183">
        <v>11526.46</v>
      </c>
      <c r="I183">
        <f t="shared" si="8"/>
        <v>6</v>
      </c>
      <c r="J183" t="str">
        <f t="shared" si="9"/>
        <v>Jun</v>
      </c>
      <c r="K183">
        <f t="shared" si="10"/>
        <v>1</v>
      </c>
      <c r="L183" t="str">
        <f t="shared" si="11"/>
        <v>Sun</v>
      </c>
    </row>
    <row r="184" spans="1:12" x14ac:dyDescent="0.25">
      <c r="A184" s="1">
        <v>45820</v>
      </c>
      <c r="B184" t="s">
        <v>39</v>
      </c>
      <c r="C184" t="s">
        <v>13</v>
      </c>
      <c r="D184" t="s">
        <v>10</v>
      </c>
      <c r="E184" t="s">
        <v>11</v>
      </c>
      <c r="F184">
        <v>2</v>
      </c>
      <c r="G184">
        <v>14069.84</v>
      </c>
      <c r="H184">
        <v>28139.68</v>
      </c>
      <c r="I184">
        <f t="shared" si="8"/>
        <v>6</v>
      </c>
      <c r="J184" t="str">
        <f t="shared" si="9"/>
        <v>Jun</v>
      </c>
      <c r="K184">
        <f t="shared" si="10"/>
        <v>5</v>
      </c>
      <c r="L184" t="str">
        <f t="shared" si="11"/>
        <v>Thu</v>
      </c>
    </row>
    <row r="185" spans="1:12" x14ac:dyDescent="0.25">
      <c r="A185" s="1">
        <v>45808</v>
      </c>
      <c r="B185" t="s">
        <v>25</v>
      </c>
      <c r="C185" t="s">
        <v>21</v>
      </c>
      <c r="D185" t="s">
        <v>17</v>
      </c>
      <c r="E185" t="s">
        <v>22</v>
      </c>
      <c r="F185">
        <v>4</v>
      </c>
      <c r="G185">
        <v>3583.67</v>
      </c>
      <c r="H185">
        <v>14334.68</v>
      </c>
      <c r="I185">
        <f t="shared" si="8"/>
        <v>5</v>
      </c>
      <c r="J185" t="str">
        <f t="shared" si="9"/>
        <v>May</v>
      </c>
      <c r="K185">
        <f t="shared" si="10"/>
        <v>7</v>
      </c>
      <c r="L185" t="str">
        <f t="shared" si="11"/>
        <v>Sat</v>
      </c>
    </row>
    <row r="186" spans="1:12" x14ac:dyDescent="0.25">
      <c r="A186" s="1">
        <v>45883</v>
      </c>
      <c r="B186" t="s">
        <v>8</v>
      </c>
      <c r="C186" t="s">
        <v>13</v>
      </c>
      <c r="D186" t="s">
        <v>17</v>
      </c>
      <c r="E186" t="s">
        <v>11</v>
      </c>
      <c r="F186">
        <v>13</v>
      </c>
      <c r="G186">
        <v>951.36</v>
      </c>
      <c r="H186">
        <v>12367.68</v>
      </c>
      <c r="I186">
        <f t="shared" si="8"/>
        <v>8</v>
      </c>
      <c r="J186" t="str">
        <f t="shared" si="9"/>
        <v>Aug</v>
      </c>
      <c r="K186">
        <f t="shared" si="10"/>
        <v>5</v>
      </c>
      <c r="L186" t="str">
        <f t="shared" si="11"/>
        <v>Thu</v>
      </c>
    </row>
    <row r="187" spans="1:12" x14ac:dyDescent="0.25">
      <c r="A187" s="1">
        <v>45857</v>
      </c>
      <c r="B187" t="s">
        <v>12</v>
      </c>
      <c r="C187" t="s">
        <v>21</v>
      </c>
      <c r="D187" t="s">
        <v>17</v>
      </c>
      <c r="E187" t="s">
        <v>22</v>
      </c>
      <c r="F187">
        <v>9</v>
      </c>
      <c r="G187">
        <v>819.83</v>
      </c>
      <c r="H187">
        <v>7378.47</v>
      </c>
      <c r="I187">
        <f t="shared" si="8"/>
        <v>7</v>
      </c>
      <c r="J187" t="str">
        <f t="shared" si="9"/>
        <v>Jul</v>
      </c>
      <c r="K187">
        <f t="shared" si="10"/>
        <v>7</v>
      </c>
      <c r="L187" t="str">
        <f t="shared" si="11"/>
        <v>Sat</v>
      </c>
    </row>
    <row r="188" spans="1:12" x14ac:dyDescent="0.25">
      <c r="A188" s="1">
        <v>45785</v>
      </c>
      <c r="B188" t="s">
        <v>40</v>
      </c>
      <c r="C188" t="s">
        <v>9</v>
      </c>
      <c r="D188" t="s">
        <v>10</v>
      </c>
      <c r="E188" t="s">
        <v>26</v>
      </c>
      <c r="F188">
        <v>7</v>
      </c>
      <c r="G188">
        <v>3727.8</v>
      </c>
      <c r="H188">
        <v>26094.6</v>
      </c>
      <c r="I188">
        <f t="shared" si="8"/>
        <v>5</v>
      </c>
      <c r="J188" t="str">
        <f t="shared" si="9"/>
        <v>May</v>
      </c>
      <c r="K188">
        <f t="shared" si="10"/>
        <v>5</v>
      </c>
      <c r="L188" t="str">
        <f t="shared" si="11"/>
        <v>Thu</v>
      </c>
    </row>
    <row r="189" spans="1:12" x14ac:dyDescent="0.25">
      <c r="A189" s="1">
        <v>45885</v>
      </c>
      <c r="B189" t="s">
        <v>23</v>
      </c>
      <c r="C189" t="s">
        <v>21</v>
      </c>
      <c r="D189" t="s">
        <v>14</v>
      </c>
      <c r="E189" t="s">
        <v>26</v>
      </c>
      <c r="F189">
        <v>12</v>
      </c>
      <c r="G189">
        <v>733.27</v>
      </c>
      <c r="H189">
        <v>8799.24</v>
      </c>
      <c r="I189">
        <f t="shared" si="8"/>
        <v>8</v>
      </c>
      <c r="J189" t="str">
        <f t="shared" si="9"/>
        <v>Aug</v>
      </c>
      <c r="K189">
        <f t="shared" si="10"/>
        <v>7</v>
      </c>
      <c r="L189" t="str">
        <f t="shared" si="11"/>
        <v>Sat</v>
      </c>
    </row>
    <row r="190" spans="1:12" x14ac:dyDescent="0.25">
      <c r="A190" s="1">
        <v>45701</v>
      </c>
      <c r="B190" t="s">
        <v>39</v>
      </c>
      <c r="C190" t="s">
        <v>9</v>
      </c>
      <c r="D190" t="s">
        <v>17</v>
      </c>
      <c r="E190" t="s">
        <v>26</v>
      </c>
      <c r="F190">
        <v>17</v>
      </c>
      <c r="G190">
        <v>12166.2</v>
      </c>
      <c r="H190">
        <v>206825.4</v>
      </c>
      <c r="I190">
        <f t="shared" si="8"/>
        <v>2</v>
      </c>
      <c r="J190" t="str">
        <f t="shared" si="9"/>
        <v>Feb</v>
      </c>
      <c r="K190">
        <f t="shared" si="10"/>
        <v>5</v>
      </c>
      <c r="L190" t="str">
        <f t="shared" si="11"/>
        <v>Thu</v>
      </c>
    </row>
    <row r="191" spans="1:12" x14ac:dyDescent="0.25">
      <c r="A191" s="1">
        <v>45974</v>
      </c>
      <c r="B191" t="s">
        <v>41</v>
      </c>
      <c r="C191" t="s">
        <v>13</v>
      </c>
      <c r="D191" t="s">
        <v>19</v>
      </c>
      <c r="E191" t="s">
        <v>15</v>
      </c>
      <c r="F191">
        <v>17</v>
      </c>
      <c r="G191">
        <v>657.16</v>
      </c>
      <c r="H191">
        <v>11171.72</v>
      </c>
      <c r="I191">
        <f t="shared" si="8"/>
        <v>11</v>
      </c>
      <c r="J191" t="str">
        <f t="shared" si="9"/>
        <v>Nov</v>
      </c>
      <c r="K191">
        <f t="shared" si="10"/>
        <v>5</v>
      </c>
      <c r="L191" t="str">
        <f t="shared" si="11"/>
        <v>Thu</v>
      </c>
    </row>
    <row r="192" spans="1:12" x14ac:dyDescent="0.25">
      <c r="A192" s="1">
        <v>45854</v>
      </c>
      <c r="B192" t="s">
        <v>41</v>
      </c>
      <c r="C192" t="s">
        <v>9</v>
      </c>
      <c r="D192" t="s">
        <v>14</v>
      </c>
      <c r="E192" t="s">
        <v>18</v>
      </c>
      <c r="F192">
        <v>12</v>
      </c>
      <c r="G192">
        <v>499.64</v>
      </c>
      <c r="H192">
        <v>5995.68</v>
      </c>
      <c r="I192">
        <f t="shared" si="8"/>
        <v>7</v>
      </c>
      <c r="J192" t="str">
        <f t="shared" si="9"/>
        <v>Jul</v>
      </c>
      <c r="K192">
        <f t="shared" si="10"/>
        <v>4</v>
      </c>
      <c r="L192" t="str">
        <f t="shared" si="11"/>
        <v>Wed</v>
      </c>
    </row>
    <row r="193" spans="1:12" x14ac:dyDescent="0.25">
      <c r="A193" s="1">
        <v>46021</v>
      </c>
      <c r="B193" t="s">
        <v>12</v>
      </c>
      <c r="C193" t="s">
        <v>13</v>
      </c>
      <c r="D193" t="s">
        <v>19</v>
      </c>
      <c r="E193" t="s">
        <v>26</v>
      </c>
      <c r="F193">
        <v>16</v>
      </c>
      <c r="G193">
        <v>1129.6300000000001</v>
      </c>
      <c r="H193">
        <v>18074.080000000002</v>
      </c>
      <c r="I193">
        <f t="shared" si="8"/>
        <v>12</v>
      </c>
      <c r="J193" t="str">
        <f t="shared" si="9"/>
        <v>Dec</v>
      </c>
      <c r="K193">
        <f t="shared" si="10"/>
        <v>3</v>
      </c>
      <c r="L193" t="str">
        <f t="shared" si="11"/>
        <v>Tue</v>
      </c>
    </row>
    <row r="194" spans="1:12" x14ac:dyDescent="0.25">
      <c r="A194" s="1">
        <v>45938</v>
      </c>
      <c r="B194" t="s">
        <v>24</v>
      </c>
      <c r="C194" t="s">
        <v>21</v>
      </c>
      <c r="D194" t="s">
        <v>14</v>
      </c>
      <c r="E194" t="s">
        <v>15</v>
      </c>
      <c r="F194">
        <v>7</v>
      </c>
      <c r="G194">
        <v>878.41</v>
      </c>
      <c r="H194">
        <v>6148.87</v>
      </c>
      <c r="I194">
        <f t="shared" ref="I194:I257" si="12">MONTH(A194)</f>
        <v>10</v>
      </c>
      <c r="J194" t="str">
        <f t="shared" ref="J194:J257" si="13">TEXT(A194,"MMM")</f>
        <v>Oct</v>
      </c>
      <c r="K194">
        <f t="shared" ref="K194:K257" si="14">WEEKDAY(A194,1)</f>
        <v>4</v>
      </c>
      <c r="L194" t="str">
        <f t="shared" ref="L194:L257" si="15">TEXT(K194,"DDD")</f>
        <v>Wed</v>
      </c>
    </row>
    <row r="195" spans="1:12" x14ac:dyDescent="0.25">
      <c r="A195" s="1">
        <v>45832</v>
      </c>
      <c r="B195" t="s">
        <v>41</v>
      </c>
      <c r="C195" t="s">
        <v>21</v>
      </c>
      <c r="D195" t="s">
        <v>10</v>
      </c>
      <c r="E195" t="s">
        <v>22</v>
      </c>
      <c r="F195">
        <v>18</v>
      </c>
      <c r="G195">
        <v>688.22</v>
      </c>
      <c r="H195">
        <v>12387.96</v>
      </c>
      <c r="I195">
        <f t="shared" si="12"/>
        <v>6</v>
      </c>
      <c r="J195" t="str">
        <f t="shared" si="13"/>
        <v>Jun</v>
      </c>
      <c r="K195">
        <f t="shared" si="14"/>
        <v>3</v>
      </c>
      <c r="L195" t="str">
        <f t="shared" si="15"/>
        <v>Tue</v>
      </c>
    </row>
    <row r="196" spans="1:12" x14ac:dyDescent="0.25">
      <c r="A196" s="1">
        <v>45759</v>
      </c>
      <c r="B196" t="s">
        <v>39</v>
      </c>
      <c r="C196" t="s">
        <v>21</v>
      </c>
      <c r="D196" t="s">
        <v>10</v>
      </c>
      <c r="E196" t="s">
        <v>11</v>
      </c>
      <c r="F196">
        <v>12</v>
      </c>
      <c r="G196">
        <v>11585.1</v>
      </c>
      <c r="H196">
        <v>139021.20000000001</v>
      </c>
      <c r="I196">
        <f t="shared" si="12"/>
        <v>4</v>
      </c>
      <c r="J196" t="str">
        <f t="shared" si="13"/>
        <v>Apr</v>
      </c>
      <c r="K196">
        <f t="shared" si="14"/>
        <v>7</v>
      </c>
      <c r="L196" t="str">
        <f t="shared" si="15"/>
        <v>Sat</v>
      </c>
    </row>
    <row r="197" spans="1:12" x14ac:dyDescent="0.25">
      <c r="A197" s="1">
        <v>45754</v>
      </c>
      <c r="B197" t="s">
        <v>23</v>
      </c>
      <c r="C197" t="s">
        <v>9</v>
      </c>
      <c r="D197" t="s">
        <v>10</v>
      </c>
      <c r="E197" t="s">
        <v>26</v>
      </c>
      <c r="F197">
        <v>12</v>
      </c>
      <c r="G197">
        <v>834.77</v>
      </c>
      <c r="H197">
        <v>10017.24</v>
      </c>
      <c r="I197">
        <f t="shared" si="12"/>
        <v>4</v>
      </c>
      <c r="J197" t="str">
        <f t="shared" si="13"/>
        <v>Apr</v>
      </c>
      <c r="K197">
        <f t="shared" si="14"/>
        <v>2</v>
      </c>
      <c r="L197" t="str">
        <f t="shared" si="15"/>
        <v>Mon</v>
      </c>
    </row>
    <row r="198" spans="1:12" x14ac:dyDescent="0.25">
      <c r="A198" s="1">
        <v>45661</v>
      </c>
      <c r="B198" t="s">
        <v>25</v>
      </c>
      <c r="C198" t="s">
        <v>9</v>
      </c>
      <c r="D198" t="s">
        <v>17</v>
      </c>
      <c r="E198" t="s">
        <v>26</v>
      </c>
      <c r="F198">
        <v>1</v>
      </c>
      <c r="G198">
        <v>4310.55</v>
      </c>
      <c r="H198">
        <v>4310.55</v>
      </c>
      <c r="I198">
        <f t="shared" si="12"/>
        <v>1</v>
      </c>
      <c r="J198" t="str">
        <f t="shared" si="13"/>
        <v>Jan</v>
      </c>
      <c r="K198">
        <f t="shared" si="14"/>
        <v>7</v>
      </c>
      <c r="L198" t="str">
        <f t="shared" si="15"/>
        <v>Sat</v>
      </c>
    </row>
    <row r="199" spans="1:12" x14ac:dyDescent="0.25">
      <c r="A199" s="1">
        <v>45764</v>
      </c>
      <c r="B199" t="s">
        <v>16</v>
      </c>
      <c r="C199" t="s">
        <v>13</v>
      </c>
      <c r="D199" t="s">
        <v>10</v>
      </c>
      <c r="E199" t="s">
        <v>26</v>
      </c>
      <c r="F199">
        <v>2</v>
      </c>
      <c r="G199">
        <v>1781.9</v>
      </c>
      <c r="H199">
        <v>3563.8</v>
      </c>
      <c r="I199">
        <f t="shared" si="12"/>
        <v>4</v>
      </c>
      <c r="J199" t="str">
        <f t="shared" si="13"/>
        <v>Apr</v>
      </c>
      <c r="K199">
        <f t="shared" si="14"/>
        <v>5</v>
      </c>
      <c r="L199" t="str">
        <f t="shared" si="15"/>
        <v>Thu</v>
      </c>
    </row>
    <row r="200" spans="1:12" x14ac:dyDescent="0.25">
      <c r="A200" s="1">
        <v>45903</v>
      </c>
      <c r="B200" t="s">
        <v>16</v>
      </c>
      <c r="C200" t="s">
        <v>13</v>
      </c>
      <c r="D200" t="s">
        <v>10</v>
      </c>
      <c r="E200" t="s">
        <v>18</v>
      </c>
      <c r="F200">
        <v>17</v>
      </c>
      <c r="G200">
        <v>2352.9</v>
      </c>
      <c r="H200">
        <v>39999.300000000003</v>
      </c>
      <c r="I200">
        <f t="shared" si="12"/>
        <v>9</v>
      </c>
      <c r="J200" t="str">
        <f t="shared" si="13"/>
        <v>Sep</v>
      </c>
      <c r="K200">
        <f t="shared" si="14"/>
        <v>4</v>
      </c>
      <c r="L200" t="str">
        <f t="shared" si="15"/>
        <v>Wed</v>
      </c>
    </row>
    <row r="201" spans="1:12" x14ac:dyDescent="0.25">
      <c r="A201" s="1">
        <v>45901</v>
      </c>
      <c r="B201" t="s">
        <v>40</v>
      </c>
      <c r="C201" t="s">
        <v>13</v>
      </c>
      <c r="D201" t="s">
        <v>17</v>
      </c>
      <c r="E201" t="s">
        <v>26</v>
      </c>
      <c r="F201">
        <v>7</v>
      </c>
      <c r="G201">
        <v>5067.5600000000004</v>
      </c>
      <c r="H201">
        <v>35472.92</v>
      </c>
      <c r="I201">
        <f t="shared" si="12"/>
        <v>9</v>
      </c>
      <c r="J201" t="str">
        <f t="shared" si="13"/>
        <v>Sep</v>
      </c>
      <c r="K201">
        <f t="shared" si="14"/>
        <v>2</v>
      </c>
      <c r="L201" t="str">
        <f t="shared" si="15"/>
        <v>Mon</v>
      </c>
    </row>
    <row r="202" spans="1:12" x14ac:dyDescent="0.25">
      <c r="A202" s="1">
        <v>45721</v>
      </c>
      <c r="B202" t="s">
        <v>39</v>
      </c>
      <c r="C202" t="s">
        <v>13</v>
      </c>
      <c r="D202" t="s">
        <v>17</v>
      </c>
      <c r="E202" t="s">
        <v>26</v>
      </c>
      <c r="F202">
        <v>4</v>
      </c>
      <c r="G202">
        <v>16939.98</v>
      </c>
      <c r="H202">
        <v>67759.92</v>
      </c>
      <c r="I202">
        <f t="shared" si="12"/>
        <v>3</v>
      </c>
      <c r="J202" t="str">
        <f t="shared" si="13"/>
        <v>Mar</v>
      </c>
      <c r="K202">
        <f t="shared" si="14"/>
        <v>4</v>
      </c>
      <c r="L202" t="str">
        <f t="shared" si="15"/>
        <v>Wed</v>
      </c>
    </row>
    <row r="203" spans="1:12" x14ac:dyDescent="0.25">
      <c r="A203" s="1">
        <v>45949</v>
      </c>
      <c r="B203" t="s">
        <v>40</v>
      </c>
      <c r="C203" t="s">
        <v>9</v>
      </c>
      <c r="D203" t="s">
        <v>17</v>
      </c>
      <c r="E203" t="s">
        <v>22</v>
      </c>
      <c r="F203">
        <v>15</v>
      </c>
      <c r="G203">
        <v>4652.9799999999996</v>
      </c>
      <c r="H203">
        <v>69794.7</v>
      </c>
      <c r="I203">
        <f t="shared" si="12"/>
        <v>10</v>
      </c>
      <c r="J203" t="str">
        <f t="shared" si="13"/>
        <v>Oct</v>
      </c>
      <c r="K203">
        <f t="shared" si="14"/>
        <v>1</v>
      </c>
      <c r="L203" t="str">
        <f t="shared" si="15"/>
        <v>Sun</v>
      </c>
    </row>
    <row r="204" spans="1:12" x14ac:dyDescent="0.25">
      <c r="A204" s="1">
        <v>46000</v>
      </c>
      <c r="B204" t="s">
        <v>8</v>
      </c>
      <c r="C204" t="s">
        <v>13</v>
      </c>
      <c r="D204" t="s">
        <v>14</v>
      </c>
      <c r="E204" t="s">
        <v>15</v>
      </c>
      <c r="F204">
        <v>5</v>
      </c>
      <c r="G204">
        <v>904.38</v>
      </c>
      <c r="H204">
        <v>4521.8999999999996</v>
      </c>
      <c r="I204">
        <f t="shared" si="12"/>
        <v>12</v>
      </c>
      <c r="J204" t="str">
        <f t="shared" si="13"/>
        <v>Dec</v>
      </c>
      <c r="K204">
        <f t="shared" si="14"/>
        <v>3</v>
      </c>
      <c r="L204" t="str">
        <f t="shared" si="15"/>
        <v>Tue</v>
      </c>
    </row>
    <row r="205" spans="1:12" x14ac:dyDescent="0.25">
      <c r="A205" s="1">
        <v>45854</v>
      </c>
      <c r="B205" t="s">
        <v>20</v>
      </c>
      <c r="C205" t="s">
        <v>13</v>
      </c>
      <c r="D205" t="s">
        <v>14</v>
      </c>
      <c r="E205" t="s">
        <v>11</v>
      </c>
      <c r="F205">
        <v>13</v>
      </c>
      <c r="G205">
        <v>1940.27</v>
      </c>
      <c r="H205">
        <v>25223.51</v>
      </c>
      <c r="I205">
        <f t="shared" si="12"/>
        <v>7</v>
      </c>
      <c r="J205" t="str">
        <f t="shared" si="13"/>
        <v>Jul</v>
      </c>
      <c r="K205">
        <f t="shared" si="14"/>
        <v>4</v>
      </c>
      <c r="L205" t="str">
        <f t="shared" si="15"/>
        <v>Wed</v>
      </c>
    </row>
    <row r="206" spans="1:12" x14ac:dyDescent="0.25">
      <c r="A206" s="1">
        <v>45855</v>
      </c>
      <c r="B206" t="s">
        <v>8</v>
      </c>
      <c r="C206" t="s">
        <v>13</v>
      </c>
      <c r="D206" t="s">
        <v>19</v>
      </c>
      <c r="E206" t="s">
        <v>27</v>
      </c>
      <c r="F206">
        <v>19</v>
      </c>
      <c r="G206">
        <v>1209.1400000000001</v>
      </c>
      <c r="H206">
        <v>22973.66</v>
      </c>
      <c r="I206">
        <f t="shared" si="12"/>
        <v>7</v>
      </c>
      <c r="J206" t="str">
        <f t="shared" si="13"/>
        <v>Jul</v>
      </c>
      <c r="K206">
        <f t="shared" si="14"/>
        <v>5</v>
      </c>
      <c r="L206" t="str">
        <f t="shared" si="15"/>
        <v>Thu</v>
      </c>
    </row>
    <row r="207" spans="1:12" x14ac:dyDescent="0.25">
      <c r="A207" s="1">
        <v>45986</v>
      </c>
      <c r="B207" t="s">
        <v>16</v>
      </c>
      <c r="C207" t="s">
        <v>9</v>
      </c>
      <c r="D207" t="s">
        <v>14</v>
      </c>
      <c r="E207" t="s">
        <v>18</v>
      </c>
      <c r="F207">
        <v>17</v>
      </c>
      <c r="G207">
        <v>3185.91</v>
      </c>
      <c r="H207">
        <v>54160.47</v>
      </c>
      <c r="I207">
        <f t="shared" si="12"/>
        <v>11</v>
      </c>
      <c r="J207" t="str">
        <f t="shared" si="13"/>
        <v>Nov</v>
      </c>
      <c r="K207">
        <f t="shared" si="14"/>
        <v>3</v>
      </c>
      <c r="L207" t="str">
        <f t="shared" si="15"/>
        <v>Tue</v>
      </c>
    </row>
    <row r="208" spans="1:12" x14ac:dyDescent="0.25">
      <c r="A208" s="1">
        <v>45918</v>
      </c>
      <c r="B208" t="s">
        <v>24</v>
      </c>
      <c r="C208" t="s">
        <v>9</v>
      </c>
      <c r="D208" t="s">
        <v>14</v>
      </c>
      <c r="E208" t="s">
        <v>18</v>
      </c>
      <c r="F208">
        <v>9</v>
      </c>
      <c r="G208">
        <v>1256.6500000000001</v>
      </c>
      <c r="H208">
        <v>11309.85</v>
      </c>
      <c r="I208">
        <f t="shared" si="12"/>
        <v>9</v>
      </c>
      <c r="J208" t="str">
        <f t="shared" si="13"/>
        <v>Sep</v>
      </c>
      <c r="K208">
        <f t="shared" si="14"/>
        <v>5</v>
      </c>
      <c r="L208" t="str">
        <f t="shared" si="15"/>
        <v>Thu</v>
      </c>
    </row>
    <row r="209" spans="1:12" x14ac:dyDescent="0.25">
      <c r="A209" s="1">
        <v>45897</v>
      </c>
      <c r="B209" t="s">
        <v>12</v>
      </c>
      <c r="C209" t="s">
        <v>13</v>
      </c>
      <c r="D209" t="s">
        <v>14</v>
      </c>
      <c r="E209" t="s">
        <v>26</v>
      </c>
      <c r="F209">
        <v>17</v>
      </c>
      <c r="G209">
        <v>713.1</v>
      </c>
      <c r="H209">
        <v>12122.7</v>
      </c>
      <c r="I209">
        <f t="shared" si="12"/>
        <v>8</v>
      </c>
      <c r="J209" t="str">
        <f t="shared" si="13"/>
        <v>Aug</v>
      </c>
      <c r="K209">
        <f t="shared" si="14"/>
        <v>5</v>
      </c>
      <c r="L209" t="str">
        <f t="shared" si="15"/>
        <v>Thu</v>
      </c>
    </row>
    <row r="210" spans="1:12" x14ac:dyDescent="0.25">
      <c r="A210" s="1">
        <v>45816</v>
      </c>
      <c r="B210" t="s">
        <v>23</v>
      </c>
      <c r="C210" t="s">
        <v>21</v>
      </c>
      <c r="D210" t="s">
        <v>17</v>
      </c>
      <c r="E210" t="s">
        <v>15</v>
      </c>
      <c r="F210">
        <v>15</v>
      </c>
      <c r="G210">
        <v>576.74</v>
      </c>
      <c r="H210">
        <v>8651.1</v>
      </c>
      <c r="I210">
        <f t="shared" si="12"/>
        <v>6</v>
      </c>
      <c r="J210" t="str">
        <f t="shared" si="13"/>
        <v>Jun</v>
      </c>
      <c r="K210">
        <f t="shared" si="14"/>
        <v>1</v>
      </c>
      <c r="L210" t="str">
        <f t="shared" si="15"/>
        <v>Sun</v>
      </c>
    </row>
    <row r="211" spans="1:12" x14ac:dyDescent="0.25">
      <c r="A211" s="1">
        <v>45724</v>
      </c>
      <c r="B211" t="s">
        <v>24</v>
      </c>
      <c r="C211" t="s">
        <v>21</v>
      </c>
      <c r="D211" t="s">
        <v>10</v>
      </c>
      <c r="E211" t="s">
        <v>22</v>
      </c>
      <c r="F211">
        <v>3</v>
      </c>
      <c r="G211">
        <v>863.78</v>
      </c>
      <c r="H211">
        <v>2591.34</v>
      </c>
      <c r="I211">
        <f t="shared" si="12"/>
        <v>3</v>
      </c>
      <c r="J211" t="str">
        <f t="shared" si="13"/>
        <v>Mar</v>
      </c>
      <c r="K211">
        <f t="shared" si="14"/>
        <v>7</v>
      </c>
      <c r="L211" t="str">
        <f t="shared" si="15"/>
        <v>Sat</v>
      </c>
    </row>
    <row r="212" spans="1:12" x14ac:dyDescent="0.25">
      <c r="A212" s="1">
        <v>45686</v>
      </c>
      <c r="B212" t="s">
        <v>40</v>
      </c>
      <c r="C212" t="s">
        <v>13</v>
      </c>
      <c r="D212" t="s">
        <v>17</v>
      </c>
      <c r="E212" t="s">
        <v>26</v>
      </c>
      <c r="F212">
        <v>12</v>
      </c>
      <c r="G212">
        <v>3606.27</v>
      </c>
      <c r="H212">
        <v>43275.24</v>
      </c>
      <c r="I212">
        <f t="shared" si="12"/>
        <v>1</v>
      </c>
      <c r="J212" t="str">
        <f t="shared" si="13"/>
        <v>Jan</v>
      </c>
      <c r="K212">
        <f t="shared" si="14"/>
        <v>4</v>
      </c>
      <c r="L212" t="str">
        <f t="shared" si="15"/>
        <v>Wed</v>
      </c>
    </row>
    <row r="213" spans="1:12" x14ac:dyDescent="0.25">
      <c r="A213" s="1">
        <v>45697</v>
      </c>
      <c r="B213" t="s">
        <v>40</v>
      </c>
      <c r="C213" t="s">
        <v>9</v>
      </c>
      <c r="D213" t="s">
        <v>10</v>
      </c>
      <c r="E213" t="s">
        <v>11</v>
      </c>
      <c r="F213">
        <v>2</v>
      </c>
      <c r="G213">
        <v>4725.3599999999997</v>
      </c>
      <c r="H213">
        <v>9450.7199999999993</v>
      </c>
      <c r="I213">
        <f t="shared" si="12"/>
        <v>2</v>
      </c>
      <c r="J213" t="str">
        <f t="shared" si="13"/>
        <v>Feb</v>
      </c>
      <c r="K213">
        <f t="shared" si="14"/>
        <v>1</v>
      </c>
      <c r="L213" t="str">
        <f t="shared" si="15"/>
        <v>Sun</v>
      </c>
    </row>
    <row r="214" spans="1:12" x14ac:dyDescent="0.25">
      <c r="A214" s="1">
        <v>45695</v>
      </c>
      <c r="B214" t="s">
        <v>41</v>
      </c>
      <c r="C214" t="s">
        <v>13</v>
      </c>
      <c r="D214" t="s">
        <v>17</v>
      </c>
      <c r="E214" t="s">
        <v>26</v>
      </c>
      <c r="F214">
        <v>18</v>
      </c>
      <c r="G214">
        <v>449.18</v>
      </c>
      <c r="H214">
        <v>8085.24</v>
      </c>
      <c r="I214">
        <f t="shared" si="12"/>
        <v>2</v>
      </c>
      <c r="J214" t="str">
        <f t="shared" si="13"/>
        <v>Feb</v>
      </c>
      <c r="K214">
        <f t="shared" si="14"/>
        <v>6</v>
      </c>
      <c r="L214" t="str">
        <f t="shared" si="15"/>
        <v>Fri</v>
      </c>
    </row>
    <row r="215" spans="1:12" x14ac:dyDescent="0.25">
      <c r="A215" s="1">
        <v>45972</v>
      </c>
      <c r="B215" t="s">
        <v>24</v>
      </c>
      <c r="C215" t="s">
        <v>9</v>
      </c>
      <c r="D215" t="s">
        <v>17</v>
      </c>
      <c r="E215" t="s">
        <v>26</v>
      </c>
      <c r="F215">
        <v>8</v>
      </c>
      <c r="G215">
        <v>1229.74</v>
      </c>
      <c r="H215">
        <v>9837.92</v>
      </c>
      <c r="I215">
        <f t="shared" si="12"/>
        <v>11</v>
      </c>
      <c r="J215" t="str">
        <f t="shared" si="13"/>
        <v>Nov</v>
      </c>
      <c r="K215">
        <f t="shared" si="14"/>
        <v>3</v>
      </c>
      <c r="L215" t="str">
        <f t="shared" si="15"/>
        <v>Tue</v>
      </c>
    </row>
    <row r="216" spans="1:12" x14ac:dyDescent="0.25">
      <c r="A216" s="1">
        <v>45974</v>
      </c>
      <c r="B216" t="s">
        <v>23</v>
      </c>
      <c r="C216" t="s">
        <v>21</v>
      </c>
      <c r="D216" t="s">
        <v>10</v>
      </c>
      <c r="E216" t="s">
        <v>26</v>
      </c>
      <c r="F216">
        <v>8</v>
      </c>
      <c r="G216">
        <v>831.55</v>
      </c>
      <c r="H216">
        <v>6652.4</v>
      </c>
      <c r="I216">
        <f t="shared" si="12"/>
        <v>11</v>
      </c>
      <c r="J216" t="str">
        <f t="shared" si="13"/>
        <v>Nov</v>
      </c>
      <c r="K216">
        <f t="shared" si="14"/>
        <v>5</v>
      </c>
      <c r="L216" t="str">
        <f t="shared" si="15"/>
        <v>Thu</v>
      </c>
    </row>
    <row r="217" spans="1:12" x14ac:dyDescent="0.25">
      <c r="A217" s="1">
        <v>45893</v>
      </c>
      <c r="B217" t="s">
        <v>39</v>
      </c>
      <c r="C217" t="s">
        <v>21</v>
      </c>
      <c r="D217" t="s">
        <v>19</v>
      </c>
      <c r="E217" t="s">
        <v>11</v>
      </c>
      <c r="F217">
        <v>16</v>
      </c>
      <c r="G217">
        <v>16426.07</v>
      </c>
      <c r="H217">
        <v>262817.12</v>
      </c>
      <c r="I217">
        <f t="shared" si="12"/>
        <v>8</v>
      </c>
      <c r="J217" t="str">
        <f t="shared" si="13"/>
        <v>Aug</v>
      </c>
      <c r="K217">
        <f t="shared" si="14"/>
        <v>1</v>
      </c>
      <c r="L217" t="str">
        <f t="shared" si="15"/>
        <v>Sun</v>
      </c>
    </row>
    <row r="218" spans="1:12" x14ac:dyDescent="0.25">
      <c r="A218" s="1">
        <v>46009</v>
      </c>
      <c r="B218" t="s">
        <v>40</v>
      </c>
      <c r="C218" t="s">
        <v>9</v>
      </c>
      <c r="D218" t="s">
        <v>10</v>
      </c>
      <c r="E218" t="s">
        <v>22</v>
      </c>
      <c r="F218">
        <v>10</v>
      </c>
      <c r="G218">
        <v>3817.5</v>
      </c>
      <c r="H218">
        <v>38175</v>
      </c>
      <c r="I218">
        <f t="shared" si="12"/>
        <v>12</v>
      </c>
      <c r="J218" t="str">
        <f t="shared" si="13"/>
        <v>Dec</v>
      </c>
      <c r="K218">
        <f t="shared" si="14"/>
        <v>5</v>
      </c>
      <c r="L218" t="str">
        <f t="shared" si="15"/>
        <v>Thu</v>
      </c>
    </row>
    <row r="219" spans="1:12" x14ac:dyDescent="0.25">
      <c r="A219" s="1">
        <v>45811</v>
      </c>
      <c r="B219" t="s">
        <v>25</v>
      </c>
      <c r="C219" t="s">
        <v>13</v>
      </c>
      <c r="D219" t="s">
        <v>17</v>
      </c>
      <c r="E219" t="s">
        <v>11</v>
      </c>
      <c r="F219">
        <v>13</v>
      </c>
      <c r="G219">
        <v>4280.87</v>
      </c>
      <c r="H219">
        <v>55651.31</v>
      </c>
      <c r="I219">
        <f t="shared" si="12"/>
        <v>6</v>
      </c>
      <c r="J219" t="str">
        <f t="shared" si="13"/>
        <v>Jun</v>
      </c>
      <c r="K219">
        <f t="shared" si="14"/>
        <v>3</v>
      </c>
      <c r="L219" t="str">
        <f t="shared" si="15"/>
        <v>Tue</v>
      </c>
    </row>
    <row r="220" spans="1:12" x14ac:dyDescent="0.25">
      <c r="A220" s="1">
        <v>45688</v>
      </c>
      <c r="B220" t="s">
        <v>20</v>
      </c>
      <c r="C220" t="s">
        <v>21</v>
      </c>
      <c r="D220" t="s">
        <v>14</v>
      </c>
      <c r="E220" t="s">
        <v>11</v>
      </c>
      <c r="F220">
        <v>7</v>
      </c>
      <c r="G220">
        <v>1194.68</v>
      </c>
      <c r="H220">
        <v>8362.76</v>
      </c>
      <c r="I220">
        <f t="shared" si="12"/>
        <v>1</v>
      </c>
      <c r="J220" t="str">
        <f t="shared" si="13"/>
        <v>Jan</v>
      </c>
      <c r="K220">
        <f t="shared" si="14"/>
        <v>6</v>
      </c>
      <c r="L220" t="str">
        <f t="shared" si="15"/>
        <v>Fri</v>
      </c>
    </row>
    <row r="221" spans="1:12" x14ac:dyDescent="0.25">
      <c r="A221" s="1">
        <v>46012</v>
      </c>
      <c r="B221" t="s">
        <v>16</v>
      </c>
      <c r="C221" t="s">
        <v>21</v>
      </c>
      <c r="D221" t="s">
        <v>17</v>
      </c>
      <c r="E221" t="s">
        <v>15</v>
      </c>
      <c r="F221">
        <v>12</v>
      </c>
      <c r="G221">
        <v>1759.58</v>
      </c>
      <c r="H221">
        <v>21114.959999999999</v>
      </c>
      <c r="I221">
        <f t="shared" si="12"/>
        <v>12</v>
      </c>
      <c r="J221" t="str">
        <f t="shared" si="13"/>
        <v>Dec</v>
      </c>
      <c r="K221">
        <f t="shared" si="14"/>
        <v>1</v>
      </c>
      <c r="L221" t="str">
        <f t="shared" si="15"/>
        <v>Sun</v>
      </c>
    </row>
    <row r="222" spans="1:12" x14ac:dyDescent="0.25">
      <c r="A222" s="1">
        <v>45880</v>
      </c>
      <c r="B222" t="s">
        <v>39</v>
      </c>
      <c r="C222" t="s">
        <v>9</v>
      </c>
      <c r="D222" t="s">
        <v>17</v>
      </c>
      <c r="E222" t="s">
        <v>26</v>
      </c>
      <c r="F222">
        <v>13</v>
      </c>
      <c r="G222">
        <v>17518.61</v>
      </c>
      <c r="H222">
        <v>227741.93</v>
      </c>
      <c r="I222">
        <f t="shared" si="12"/>
        <v>8</v>
      </c>
      <c r="J222" t="str">
        <f t="shared" si="13"/>
        <v>Aug</v>
      </c>
      <c r="K222">
        <f t="shared" si="14"/>
        <v>2</v>
      </c>
      <c r="L222" t="str">
        <f t="shared" si="15"/>
        <v>Mon</v>
      </c>
    </row>
    <row r="223" spans="1:12" x14ac:dyDescent="0.25">
      <c r="A223" s="1">
        <v>45982</v>
      </c>
      <c r="B223" t="s">
        <v>23</v>
      </c>
      <c r="C223" t="s">
        <v>21</v>
      </c>
      <c r="D223" t="s">
        <v>10</v>
      </c>
      <c r="E223" t="s">
        <v>26</v>
      </c>
      <c r="F223">
        <v>9</v>
      </c>
      <c r="G223">
        <v>1022.24</v>
      </c>
      <c r="H223">
        <v>9200.16</v>
      </c>
      <c r="I223">
        <f t="shared" si="12"/>
        <v>11</v>
      </c>
      <c r="J223" t="str">
        <f t="shared" si="13"/>
        <v>Nov</v>
      </c>
      <c r="K223">
        <f t="shared" si="14"/>
        <v>6</v>
      </c>
      <c r="L223" t="str">
        <f t="shared" si="15"/>
        <v>Fri</v>
      </c>
    </row>
    <row r="224" spans="1:12" x14ac:dyDescent="0.25">
      <c r="A224" s="1">
        <v>45975</v>
      </c>
      <c r="B224" t="s">
        <v>24</v>
      </c>
      <c r="C224" t="s">
        <v>9</v>
      </c>
      <c r="D224" t="s">
        <v>14</v>
      </c>
      <c r="E224" t="s">
        <v>18</v>
      </c>
      <c r="F224">
        <v>4</v>
      </c>
      <c r="G224">
        <v>740.7</v>
      </c>
      <c r="H224">
        <v>2962.8</v>
      </c>
      <c r="I224">
        <f t="shared" si="12"/>
        <v>11</v>
      </c>
      <c r="J224" t="str">
        <f t="shared" si="13"/>
        <v>Nov</v>
      </c>
      <c r="K224">
        <f t="shared" si="14"/>
        <v>6</v>
      </c>
      <c r="L224" t="str">
        <f t="shared" si="15"/>
        <v>Fri</v>
      </c>
    </row>
    <row r="225" spans="1:12" x14ac:dyDescent="0.25">
      <c r="A225" s="1">
        <v>45875</v>
      </c>
      <c r="B225" t="s">
        <v>39</v>
      </c>
      <c r="C225" t="s">
        <v>21</v>
      </c>
      <c r="D225" t="s">
        <v>17</v>
      </c>
      <c r="E225" t="s">
        <v>26</v>
      </c>
      <c r="F225">
        <v>1</v>
      </c>
      <c r="G225">
        <v>11021.28</v>
      </c>
      <c r="H225">
        <v>11021.28</v>
      </c>
      <c r="I225">
        <f t="shared" si="12"/>
        <v>8</v>
      </c>
      <c r="J225" t="str">
        <f t="shared" si="13"/>
        <v>Aug</v>
      </c>
      <c r="K225">
        <f t="shared" si="14"/>
        <v>4</v>
      </c>
      <c r="L225" t="str">
        <f t="shared" si="15"/>
        <v>Wed</v>
      </c>
    </row>
    <row r="226" spans="1:12" x14ac:dyDescent="0.25">
      <c r="A226" s="1">
        <v>45776</v>
      </c>
      <c r="B226" t="s">
        <v>16</v>
      </c>
      <c r="C226" t="s">
        <v>21</v>
      </c>
      <c r="D226" t="s">
        <v>14</v>
      </c>
      <c r="E226" t="s">
        <v>15</v>
      </c>
      <c r="F226">
        <v>12</v>
      </c>
      <c r="G226">
        <v>2874.48</v>
      </c>
      <c r="H226">
        <v>34493.760000000002</v>
      </c>
      <c r="I226">
        <f t="shared" si="12"/>
        <v>4</v>
      </c>
      <c r="J226" t="str">
        <f t="shared" si="13"/>
        <v>Apr</v>
      </c>
      <c r="K226">
        <f t="shared" si="14"/>
        <v>3</v>
      </c>
      <c r="L226" t="str">
        <f t="shared" si="15"/>
        <v>Tue</v>
      </c>
    </row>
    <row r="227" spans="1:12" x14ac:dyDescent="0.25">
      <c r="A227" s="1">
        <v>45883</v>
      </c>
      <c r="B227" t="s">
        <v>8</v>
      </c>
      <c r="C227" t="s">
        <v>9</v>
      </c>
      <c r="D227" t="s">
        <v>19</v>
      </c>
      <c r="E227" t="s">
        <v>15</v>
      </c>
      <c r="F227">
        <v>11</v>
      </c>
      <c r="G227">
        <v>1431.49</v>
      </c>
      <c r="H227">
        <v>15746.39</v>
      </c>
      <c r="I227">
        <f t="shared" si="12"/>
        <v>8</v>
      </c>
      <c r="J227" t="str">
        <f t="shared" si="13"/>
        <v>Aug</v>
      </c>
      <c r="K227">
        <f t="shared" si="14"/>
        <v>5</v>
      </c>
      <c r="L227" t="str">
        <f t="shared" si="15"/>
        <v>Thu</v>
      </c>
    </row>
    <row r="228" spans="1:12" x14ac:dyDescent="0.25">
      <c r="A228" s="1">
        <v>45735</v>
      </c>
      <c r="B228" t="s">
        <v>23</v>
      </c>
      <c r="C228" t="s">
        <v>13</v>
      </c>
      <c r="D228" t="s">
        <v>14</v>
      </c>
      <c r="E228" t="s">
        <v>26</v>
      </c>
      <c r="F228">
        <v>2</v>
      </c>
      <c r="G228">
        <v>691.34</v>
      </c>
      <c r="H228">
        <v>1382.68</v>
      </c>
      <c r="I228">
        <f t="shared" si="12"/>
        <v>3</v>
      </c>
      <c r="J228" t="str">
        <f t="shared" si="13"/>
        <v>Mar</v>
      </c>
      <c r="K228">
        <f t="shared" si="14"/>
        <v>4</v>
      </c>
      <c r="L228" t="str">
        <f t="shared" si="15"/>
        <v>Wed</v>
      </c>
    </row>
    <row r="229" spans="1:12" x14ac:dyDescent="0.25">
      <c r="A229" s="1">
        <v>45941</v>
      </c>
      <c r="B229" t="s">
        <v>8</v>
      </c>
      <c r="C229" t="s">
        <v>9</v>
      </c>
      <c r="D229" t="s">
        <v>10</v>
      </c>
      <c r="E229" t="s">
        <v>22</v>
      </c>
      <c r="F229">
        <v>9</v>
      </c>
      <c r="G229">
        <v>957.81</v>
      </c>
      <c r="H229">
        <v>8620.2900000000009</v>
      </c>
      <c r="I229">
        <f t="shared" si="12"/>
        <v>10</v>
      </c>
      <c r="J229" t="str">
        <f t="shared" si="13"/>
        <v>Oct</v>
      </c>
      <c r="K229">
        <f t="shared" si="14"/>
        <v>7</v>
      </c>
      <c r="L229" t="str">
        <f t="shared" si="15"/>
        <v>Sat</v>
      </c>
    </row>
    <row r="230" spans="1:12" x14ac:dyDescent="0.25">
      <c r="A230" s="1">
        <v>45941</v>
      </c>
      <c r="B230" t="s">
        <v>8</v>
      </c>
      <c r="C230" t="s">
        <v>21</v>
      </c>
      <c r="D230" t="s">
        <v>10</v>
      </c>
      <c r="E230" t="s">
        <v>18</v>
      </c>
      <c r="F230">
        <v>11</v>
      </c>
      <c r="G230">
        <v>1036.75</v>
      </c>
      <c r="H230">
        <v>11404.25</v>
      </c>
      <c r="I230">
        <f t="shared" si="12"/>
        <v>10</v>
      </c>
      <c r="J230" t="str">
        <f t="shared" si="13"/>
        <v>Oct</v>
      </c>
      <c r="K230">
        <f t="shared" si="14"/>
        <v>7</v>
      </c>
      <c r="L230" t="str">
        <f t="shared" si="15"/>
        <v>Sat</v>
      </c>
    </row>
    <row r="231" spans="1:12" x14ac:dyDescent="0.25">
      <c r="A231" s="1">
        <v>45993</v>
      </c>
      <c r="B231" t="s">
        <v>41</v>
      </c>
      <c r="C231" t="s">
        <v>9</v>
      </c>
      <c r="D231" t="s">
        <v>17</v>
      </c>
      <c r="E231" t="s">
        <v>15</v>
      </c>
      <c r="F231">
        <v>6</v>
      </c>
      <c r="G231">
        <v>693.63</v>
      </c>
      <c r="H231">
        <v>4161.78</v>
      </c>
      <c r="I231">
        <f t="shared" si="12"/>
        <v>12</v>
      </c>
      <c r="J231" t="str">
        <f t="shared" si="13"/>
        <v>Dec</v>
      </c>
      <c r="K231">
        <f t="shared" si="14"/>
        <v>3</v>
      </c>
      <c r="L231" t="str">
        <f t="shared" si="15"/>
        <v>Tue</v>
      </c>
    </row>
    <row r="232" spans="1:12" x14ac:dyDescent="0.25">
      <c r="A232" s="1">
        <v>45913</v>
      </c>
      <c r="B232" t="s">
        <v>12</v>
      </c>
      <c r="C232" t="s">
        <v>21</v>
      </c>
      <c r="D232" t="s">
        <v>10</v>
      </c>
      <c r="E232" t="s">
        <v>26</v>
      </c>
      <c r="F232">
        <v>3</v>
      </c>
      <c r="G232">
        <v>646.80999999999995</v>
      </c>
      <c r="H232">
        <v>1940.43</v>
      </c>
      <c r="I232">
        <f t="shared" si="12"/>
        <v>9</v>
      </c>
      <c r="J232" t="str">
        <f t="shared" si="13"/>
        <v>Sep</v>
      </c>
      <c r="K232">
        <f t="shared" si="14"/>
        <v>7</v>
      </c>
      <c r="L232" t="str">
        <f t="shared" si="15"/>
        <v>Sat</v>
      </c>
    </row>
    <row r="233" spans="1:12" x14ac:dyDescent="0.25">
      <c r="A233" s="1">
        <v>45937</v>
      </c>
      <c r="B233" t="s">
        <v>41</v>
      </c>
      <c r="C233" t="s">
        <v>21</v>
      </c>
      <c r="D233" t="s">
        <v>10</v>
      </c>
      <c r="E233" t="s">
        <v>18</v>
      </c>
      <c r="F233">
        <v>16</v>
      </c>
      <c r="G233">
        <v>615.55999999999995</v>
      </c>
      <c r="H233">
        <v>9848.9599999999991</v>
      </c>
      <c r="I233">
        <f t="shared" si="12"/>
        <v>10</v>
      </c>
      <c r="J233" t="str">
        <f t="shared" si="13"/>
        <v>Oct</v>
      </c>
      <c r="K233">
        <f t="shared" si="14"/>
        <v>3</v>
      </c>
      <c r="L233" t="str">
        <f t="shared" si="15"/>
        <v>Tue</v>
      </c>
    </row>
    <row r="234" spans="1:12" x14ac:dyDescent="0.25">
      <c r="A234" s="1">
        <v>45716</v>
      </c>
      <c r="B234" t="s">
        <v>40</v>
      </c>
      <c r="C234" t="s">
        <v>9</v>
      </c>
      <c r="D234" t="s">
        <v>17</v>
      </c>
      <c r="E234" t="s">
        <v>15</v>
      </c>
      <c r="F234">
        <v>8</v>
      </c>
      <c r="G234">
        <v>5812.77</v>
      </c>
      <c r="H234">
        <v>46502.16</v>
      </c>
      <c r="I234">
        <f t="shared" si="12"/>
        <v>2</v>
      </c>
      <c r="J234" t="str">
        <f t="shared" si="13"/>
        <v>Feb</v>
      </c>
      <c r="K234">
        <f t="shared" si="14"/>
        <v>6</v>
      </c>
      <c r="L234" t="str">
        <f t="shared" si="15"/>
        <v>Fri</v>
      </c>
    </row>
    <row r="235" spans="1:12" x14ac:dyDescent="0.25">
      <c r="A235" s="1">
        <v>45830</v>
      </c>
      <c r="B235" t="s">
        <v>16</v>
      </c>
      <c r="C235" t="s">
        <v>13</v>
      </c>
      <c r="D235" t="s">
        <v>10</v>
      </c>
      <c r="E235" t="s">
        <v>22</v>
      </c>
      <c r="F235">
        <v>12</v>
      </c>
      <c r="G235">
        <v>1798.79</v>
      </c>
      <c r="H235">
        <v>21585.48</v>
      </c>
      <c r="I235">
        <f t="shared" si="12"/>
        <v>6</v>
      </c>
      <c r="J235" t="str">
        <f t="shared" si="13"/>
        <v>Jun</v>
      </c>
      <c r="K235">
        <f t="shared" si="14"/>
        <v>1</v>
      </c>
      <c r="L235" t="str">
        <f t="shared" si="15"/>
        <v>Sun</v>
      </c>
    </row>
    <row r="236" spans="1:12" x14ac:dyDescent="0.25">
      <c r="A236" s="1">
        <v>45972</v>
      </c>
      <c r="B236" t="s">
        <v>12</v>
      </c>
      <c r="C236" t="s">
        <v>13</v>
      </c>
      <c r="D236" t="s">
        <v>19</v>
      </c>
      <c r="E236" t="s">
        <v>15</v>
      </c>
      <c r="F236">
        <v>14</v>
      </c>
      <c r="G236">
        <v>953.1</v>
      </c>
      <c r="H236">
        <v>13343.4</v>
      </c>
      <c r="I236">
        <f t="shared" si="12"/>
        <v>11</v>
      </c>
      <c r="J236" t="str">
        <f t="shared" si="13"/>
        <v>Nov</v>
      </c>
      <c r="K236">
        <f t="shared" si="14"/>
        <v>3</v>
      </c>
      <c r="L236" t="str">
        <f t="shared" si="15"/>
        <v>Tue</v>
      </c>
    </row>
    <row r="237" spans="1:12" x14ac:dyDescent="0.25">
      <c r="A237" s="1">
        <v>45892</v>
      </c>
      <c r="B237" t="s">
        <v>8</v>
      </c>
      <c r="C237" t="s">
        <v>9</v>
      </c>
      <c r="D237" t="s">
        <v>14</v>
      </c>
      <c r="E237" t="s">
        <v>18</v>
      </c>
      <c r="F237">
        <v>2</v>
      </c>
      <c r="G237">
        <v>1414.24</v>
      </c>
      <c r="H237">
        <v>2828.48</v>
      </c>
      <c r="I237">
        <f t="shared" si="12"/>
        <v>8</v>
      </c>
      <c r="J237" t="str">
        <f t="shared" si="13"/>
        <v>Aug</v>
      </c>
      <c r="K237">
        <f t="shared" si="14"/>
        <v>7</v>
      </c>
      <c r="L237" t="str">
        <f t="shared" si="15"/>
        <v>Sat</v>
      </c>
    </row>
    <row r="238" spans="1:12" x14ac:dyDescent="0.25">
      <c r="A238" s="1">
        <v>45720</v>
      </c>
      <c r="B238" t="s">
        <v>39</v>
      </c>
      <c r="C238" t="s">
        <v>9</v>
      </c>
      <c r="D238" t="s">
        <v>14</v>
      </c>
      <c r="E238" t="s">
        <v>26</v>
      </c>
      <c r="F238">
        <v>14</v>
      </c>
      <c r="G238">
        <v>19272.3</v>
      </c>
      <c r="H238">
        <v>269812.2</v>
      </c>
      <c r="I238">
        <f t="shared" si="12"/>
        <v>3</v>
      </c>
      <c r="J238" t="str">
        <f t="shared" si="13"/>
        <v>Mar</v>
      </c>
      <c r="K238">
        <f t="shared" si="14"/>
        <v>3</v>
      </c>
      <c r="L238" t="str">
        <f t="shared" si="15"/>
        <v>Tue</v>
      </c>
    </row>
    <row r="239" spans="1:12" x14ac:dyDescent="0.25">
      <c r="A239" s="1">
        <v>45822</v>
      </c>
      <c r="B239" t="s">
        <v>40</v>
      </c>
      <c r="C239" t="s">
        <v>9</v>
      </c>
      <c r="D239" t="s">
        <v>19</v>
      </c>
      <c r="E239" t="s">
        <v>15</v>
      </c>
      <c r="F239">
        <v>8</v>
      </c>
      <c r="G239">
        <v>5672.86</v>
      </c>
      <c r="H239">
        <v>45382.879999999997</v>
      </c>
      <c r="I239">
        <f t="shared" si="12"/>
        <v>6</v>
      </c>
      <c r="J239" t="str">
        <f t="shared" si="13"/>
        <v>Jun</v>
      </c>
      <c r="K239">
        <f t="shared" si="14"/>
        <v>7</v>
      </c>
      <c r="L239" t="str">
        <f t="shared" si="15"/>
        <v>Sat</v>
      </c>
    </row>
    <row r="240" spans="1:12" x14ac:dyDescent="0.25">
      <c r="A240" s="1">
        <v>45835</v>
      </c>
      <c r="B240" t="s">
        <v>41</v>
      </c>
      <c r="C240" t="s">
        <v>9</v>
      </c>
      <c r="D240" t="s">
        <v>17</v>
      </c>
      <c r="E240" t="s">
        <v>18</v>
      </c>
      <c r="F240">
        <v>14</v>
      </c>
      <c r="G240">
        <v>471.3</v>
      </c>
      <c r="H240">
        <v>6598.2</v>
      </c>
      <c r="I240">
        <f t="shared" si="12"/>
        <v>6</v>
      </c>
      <c r="J240" t="str">
        <f t="shared" si="13"/>
        <v>Jun</v>
      </c>
      <c r="K240">
        <f t="shared" si="14"/>
        <v>6</v>
      </c>
      <c r="L240" t="str">
        <f t="shared" si="15"/>
        <v>Fri</v>
      </c>
    </row>
    <row r="241" spans="1:12" x14ac:dyDescent="0.25">
      <c r="A241" s="1">
        <v>45736</v>
      </c>
      <c r="B241" t="s">
        <v>25</v>
      </c>
      <c r="C241" t="s">
        <v>21</v>
      </c>
      <c r="D241" t="s">
        <v>19</v>
      </c>
      <c r="E241" t="s">
        <v>27</v>
      </c>
      <c r="F241">
        <v>1</v>
      </c>
      <c r="G241">
        <v>3625.26</v>
      </c>
      <c r="H241">
        <v>3625.26</v>
      </c>
      <c r="I241">
        <f t="shared" si="12"/>
        <v>3</v>
      </c>
      <c r="J241" t="str">
        <f t="shared" si="13"/>
        <v>Mar</v>
      </c>
      <c r="K241">
        <f t="shared" si="14"/>
        <v>5</v>
      </c>
      <c r="L241" t="str">
        <f t="shared" si="15"/>
        <v>Thu</v>
      </c>
    </row>
    <row r="242" spans="1:12" x14ac:dyDescent="0.25">
      <c r="A242" s="1">
        <v>45898</v>
      </c>
      <c r="B242" t="s">
        <v>39</v>
      </c>
      <c r="C242" t="s">
        <v>21</v>
      </c>
      <c r="D242" t="s">
        <v>17</v>
      </c>
      <c r="E242" t="s">
        <v>22</v>
      </c>
      <c r="F242">
        <v>9</v>
      </c>
      <c r="G242">
        <v>13655.64</v>
      </c>
      <c r="H242">
        <v>122900.76</v>
      </c>
      <c r="I242">
        <f t="shared" si="12"/>
        <v>8</v>
      </c>
      <c r="J242" t="str">
        <f t="shared" si="13"/>
        <v>Aug</v>
      </c>
      <c r="K242">
        <f t="shared" si="14"/>
        <v>6</v>
      </c>
      <c r="L242" t="str">
        <f t="shared" si="15"/>
        <v>Fri</v>
      </c>
    </row>
    <row r="243" spans="1:12" x14ac:dyDescent="0.25">
      <c r="A243" s="1">
        <v>45733</v>
      </c>
      <c r="B243" t="s">
        <v>8</v>
      </c>
      <c r="C243" t="s">
        <v>21</v>
      </c>
      <c r="D243" t="s">
        <v>14</v>
      </c>
      <c r="E243" t="s">
        <v>26</v>
      </c>
      <c r="F243">
        <v>6</v>
      </c>
      <c r="G243">
        <v>1248.6300000000001</v>
      </c>
      <c r="H243">
        <v>7491.78</v>
      </c>
      <c r="I243">
        <f t="shared" si="12"/>
        <v>3</v>
      </c>
      <c r="J243" t="str">
        <f t="shared" si="13"/>
        <v>Mar</v>
      </c>
      <c r="K243">
        <f t="shared" si="14"/>
        <v>2</v>
      </c>
      <c r="L243" t="str">
        <f t="shared" si="15"/>
        <v>Mon</v>
      </c>
    </row>
    <row r="244" spans="1:12" x14ac:dyDescent="0.25">
      <c r="A244" s="1">
        <v>45830</v>
      </c>
      <c r="B244" t="s">
        <v>12</v>
      </c>
      <c r="C244" t="s">
        <v>21</v>
      </c>
      <c r="D244" t="s">
        <v>10</v>
      </c>
      <c r="E244" t="s">
        <v>26</v>
      </c>
      <c r="F244">
        <v>10</v>
      </c>
      <c r="G244">
        <v>720.44</v>
      </c>
      <c r="H244">
        <v>7204.4</v>
      </c>
      <c r="I244">
        <f t="shared" si="12"/>
        <v>6</v>
      </c>
      <c r="J244" t="str">
        <f t="shared" si="13"/>
        <v>Jun</v>
      </c>
      <c r="K244">
        <f t="shared" si="14"/>
        <v>1</v>
      </c>
      <c r="L244" t="str">
        <f t="shared" si="15"/>
        <v>Sun</v>
      </c>
    </row>
    <row r="245" spans="1:12" x14ac:dyDescent="0.25">
      <c r="A245" s="1">
        <v>45961</v>
      </c>
      <c r="B245" t="s">
        <v>41</v>
      </c>
      <c r="C245" t="s">
        <v>13</v>
      </c>
      <c r="D245" t="s">
        <v>17</v>
      </c>
      <c r="E245" t="s">
        <v>11</v>
      </c>
      <c r="F245">
        <v>6</v>
      </c>
      <c r="G245">
        <v>634.12</v>
      </c>
      <c r="H245">
        <v>3804.72</v>
      </c>
      <c r="I245">
        <f t="shared" si="12"/>
        <v>10</v>
      </c>
      <c r="J245" t="str">
        <f t="shared" si="13"/>
        <v>Oct</v>
      </c>
      <c r="K245">
        <f t="shared" si="14"/>
        <v>6</v>
      </c>
      <c r="L245" t="str">
        <f t="shared" si="15"/>
        <v>Fri</v>
      </c>
    </row>
    <row r="246" spans="1:12" x14ac:dyDescent="0.25">
      <c r="A246" s="1">
        <v>45729</v>
      </c>
      <c r="B246" t="s">
        <v>20</v>
      </c>
      <c r="C246" t="s">
        <v>13</v>
      </c>
      <c r="D246" t="s">
        <v>19</v>
      </c>
      <c r="E246" t="s">
        <v>15</v>
      </c>
      <c r="F246">
        <v>18</v>
      </c>
      <c r="G246">
        <v>1891.68</v>
      </c>
      <c r="H246">
        <v>34050.239999999998</v>
      </c>
      <c r="I246">
        <f t="shared" si="12"/>
        <v>3</v>
      </c>
      <c r="J246" t="str">
        <f t="shared" si="13"/>
        <v>Mar</v>
      </c>
      <c r="K246">
        <f t="shared" si="14"/>
        <v>5</v>
      </c>
      <c r="L246" t="str">
        <f t="shared" si="15"/>
        <v>Thu</v>
      </c>
    </row>
    <row r="247" spans="1:12" x14ac:dyDescent="0.25">
      <c r="A247" s="1">
        <v>45984</v>
      </c>
      <c r="B247" t="s">
        <v>16</v>
      </c>
      <c r="C247" t="s">
        <v>21</v>
      </c>
      <c r="D247" t="s">
        <v>19</v>
      </c>
      <c r="E247" t="s">
        <v>11</v>
      </c>
      <c r="F247">
        <v>7</v>
      </c>
      <c r="G247">
        <v>2741.23</v>
      </c>
      <c r="H247">
        <v>19188.61</v>
      </c>
      <c r="I247">
        <f t="shared" si="12"/>
        <v>11</v>
      </c>
      <c r="J247" t="str">
        <f t="shared" si="13"/>
        <v>Nov</v>
      </c>
      <c r="K247">
        <f t="shared" si="14"/>
        <v>1</v>
      </c>
      <c r="L247" t="str">
        <f t="shared" si="15"/>
        <v>Sun</v>
      </c>
    </row>
    <row r="248" spans="1:12" x14ac:dyDescent="0.25">
      <c r="A248" s="1">
        <v>45864</v>
      </c>
      <c r="B248" t="s">
        <v>8</v>
      </c>
      <c r="C248" t="s">
        <v>21</v>
      </c>
      <c r="D248" t="s">
        <v>14</v>
      </c>
      <c r="E248" t="s">
        <v>26</v>
      </c>
      <c r="F248">
        <v>3</v>
      </c>
      <c r="G248">
        <v>869.34</v>
      </c>
      <c r="H248">
        <v>2608.02</v>
      </c>
      <c r="I248">
        <f t="shared" si="12"/>
        <v>7</v>
      </c>
      <c r="J248" t="str">
        <f t="shared" si="13"/>
        <v>Jul</v>
      </c>
      <c r="K248">
        <f t="shared" si="14"/>
        <v>7</v>
      </c>
      <c r="L248" t="str">
        <f t="shared" si="15"/>
        <v>Sat</v>
      </c>
    </row>
    <row r="249" spans="1:12" x14ac:dyDescent="0.25">
      <c r="A249" s="1">
        <v>45844</v>
      </c>
      <c r="B249" t="s">
        <v>12</v>
      </c>
      <c r="C249" t="s">
        <v>21</v>
      </c>
      <c r="D249" t="s">
        <v>10</v>
      </c>
      <c r="E249" t="s">
        <v>26</v>
      </c>
      <c r="F249">
        <v>12</v>
      </c>
      <c r="G249">
        <v>763.44</v>
      </c>
      <c r="H249">
        <v>9161.2800000000007</v>
      </c>
      <c r="I249">
        <f t="shared" si="12"/>
        <v>7</v>
      </c>
      <c r="J249" t="str">
        <f t="shared" si="13"/>
        <v>Jul</v>
      </c>
      <c r="K249">
        <f t="shared" si="14"/>
        <v>1</v>
      </c>
      <c r="L249" t="str">
        <f t="shared" si="15"/>
        <v>Sun</v>
      </c>
    </row>
    <row r="250" spans="1:12" x14ac:dyDescent="0.25">
      <c r="A250" s="1">
        <v>45682</v>
      </c>
      <c r="B250" t="s">
        <v>23</v>
      </c>
      <c r="C250" t="s">
        <v>21</v>
      </c>
      <c r="D250" t="s">
        <v>10</v>
      </c>
      <c r="E250" t="s">
        <v>18</v>
      </c>
      <c r="F250">
        <v>13</v>
      </c>
      <c r="G250">
        <v>647.41999999999996</v>
      </c>
      <c r="H250">
        <v>8416.4599999999991</v>
      </c>
      <c r="I250">
        <f t="shared" si="12"/>
        <v>1</v>
      </c>
      <c r="J250" t="str">
        <f t="shared" si="13"/>
        <v>Jan</v>
      </c>
      <c r="K250">
        <f t="shared" si="14"/>
        <v>7</v>
      </c>
      <c r="L250" t="str">
        <f t="shared" si="15"/>
        <v>Sat</v>
      </c>
    </row>
    <row r="251" spans="1:12" x14ac:dyDescent="0.25">
      <c r="A251" s="1">
        <v>45775</v>
      </c>
      <c r="B251" t="s">
        <v>24</v>
      </c>
      <c r="C251" t="s">
        <v>13</v>
      </c>
      <c r="D251" t="s">
        <v>19</v>
      </c>
      <c r="E251" t="s">
        <v>11</v>
      </c>
      <c r="F251">
        <v>12</v>
      </c>
      <c r="G251">
        <v>1033.22</v>
      </c>
      <c r="H251">
        <v>12398.64</v>
      </c>
      <c r="I251">
        <f t="shared" si="12"/>
        <v>4</v>
      </c>
      <c r="J251" t="str">
        <f t="shared" si="13"/>
        <v>Apr</v>
      </c>
      <c r="K251">
        <f t="shared" si="14"/>
        <v>2</v>
      </c>
      <c r="L251" t="str">
        <f t="shared" si="15"/>
        <v>Mon</v>
      </c>
    </row>
    <row r="252" spans="1:12" x14ac:dyDescent="0.25">
      <c r="A252" s="1">
        <v>45867</v>
      </c>
      <c r="B252" t="s">
        <v>25</v>
      </c>
      <c r="C252" t="s">
        <v>9</v>
      </c>
      <c r="D252" t="s">
        <v>19</v>
      </c>
      <c r="E252" t="s">
        <v>15</v>
      </c>
      <c r="F252">
        <v>3</v>
      </c>
      <c r="G252">
        <v>2621.21</v>
      </c>
      <c r="H252">
        <v>7863.63</v>
      </c>
      <c r="I252">
        <f t="shared" si="12"/>
        <v>7</v>
      </c>
      <c r="J252" t="str">
        <f t="shared" si="13"/>
        <v>Jul</v>
      </c>
      <c r="K252">
        <f t="shared" si="14"/>
        <v>3</v>
      </c>
      <c r="L252" t="str">
        <f t="shared" si="15"/>
        <v>Tue</v>
      </c>
    </row>
    <row r="253" spans="1:12" x14ac:dyDescent="0.25">
      <c r="A253" s="1">
        <v>45899</v>
      </c>
      <c r="B253" t="s">
        <v>23</v>
      </c>
      <c r="C253" t="s">
        <v>9</v>
      </c>
      <c r="D253" t="s">
        <v>17</v>
      </c>
      <c r="E253" t="s">
        <v>22</v>
      </c>
      <c r="F253">
        <v>7</v>
      </c>
      <c r="G253">
        <v>782.06</v>
      </c>
      <c r="H253">
        <v>5474.42</v>
      </c>
      <c r="I253">
        <f t="shared" si="12"/>
        <v>8</v>
      </c>
      <c r="J253" t="str">
        <f t="shared" si="13"/>
        <v>Aug</v>
      </c>
      <c r="K253">
        <f t="shared" si="14"/>
        <v>7</v>
      </c>
      <c r="L253" t="str">
        <f t="shared" si="15"/>
        <v>Sat</v>
      </c>
    </row>
    <row r="254" spans="1:12" x14ac:dyDescent="0.25">
      <c r="A254" s="1">
        <v>46006</v>
      </c>
      <c r="B254" t="s">
        <v>24</v>
      </c>
      <c r="C254" t="s">
        <v>13</v>
      </c>
      <c r="D254" t="s">
        <v>14</v>
      </c>
      <c r="E254" t="s">
        <v>15</v>
      </c>
      <c r="F254">
        <v>5</v>
      </c>
      <c r="G254">
        <v>907.56</v>
      </c>
      <c r="H254">
        <v>4537.8</v>
      </c>
      <c r="I254">
        <f t="shared" si="12"/>
        <v>12</v>
      </c>
      <c r="J254" t="str">
        <f t="shared" si="13"/>
        <v>Dec</v>
      </c>
      <c r="K254">
        <f t="shared" si="14"/>
        <v>2</v>
      </c>
      <c r="L254" t="str">
        <f t="shared" si="15"/>
        <v>Mon</v>
      </c>
    </row>
    <row r="255" spans="1:12" x14ac:dyDescent="0.25">
      <c r="A255" s="1">
        <v>46020</v>
      </c>
      <c r="B255" t="s">
        <v>8</v>
      </c>
      <c r="C255" t="s">
        <v>21</v>
      </c>
      <c r="D255" t="s">
        <v>17</v>
      </c>
      <c r="E255" t="s">
        <v>11</v>
      </c>
      <c r="F255">
        <v>9</v>
      </c>
      <c r="G255">
        <v>1155.8</v>
      </c>
      <c r="H255">
        <v>10402.200000000001</v>
      </c>
      <c r="I255">
        <f t="shared" si="12"/>
        <v>12</v>
      </c>
      <c r="J255" t="str">
        <f t="shared" si="13"/>
        <v>Dec</v>
      </c>
      <c r="K255">
        <f t="shared" si="14"/>
        <v>2</v>
      </c>
      <c r="L255" t="str">
        <f t="shared" si="15"/>
        <v>Mon</v>
      </c>
    </row>
    <row r="256" spans="1:12" x14ac:dyDescent="0.25">
      <c r="A256" s="1">
        <v>45773</v>
      </c>
      <c r="B256" t="s">
        <v>16</v>
      </c>
      <c r="C256" t="s">
        <v>21</v>
      </c>
      <c r="D256" t="s">
        <v>10</v>
      </c>
      <c r="E256" t="s">
        <v>26</v>
      </c>
      <c r="F256">
        <v>4</v>
      </c>
      <c r="G256">
        <v>2382.58</v>
      </c>
      <c r="H256">
        <v>9530.32</v>
      </c>
      <c r="I256">
        <f t="shared" si="12"/>
        <v>4</v>
      </c>
      <c r="J256" t="str">
        <f t="shared" si="13"/>
        <v>Apr</v>
      </c>
      <c r="K256">
        <f t="shared" si="14"/>
        <v>7</v>
      </c>
      <c r="L256" t="str">
        <f t="shared" si="15"/>
        <v>Sat</v>
      </c>
    </row>
    <row r="257" spans="1:12" x14ac:dyDescent="0.25">
      <c r="A257" s="1">
        <v>45899</v>
      </c>
      <c r="B257" t="s">
        <v>23</v>
      </c>
      <c r="C257" t="s">
        <v>21</v>
      </c>
      <c r="D257" t="s">
        <v>14</v>
      </c>
      <c r="E257" t="s">
        <v>15</v>
      </c>
      <c r="F257">
        <v>12</v>
      </c>
      <c r="G257">
        <v>744.25</v>
      </c>
      <c r="H257">
        <v>8931</v>
      </c>
      <c r="I257">
        <f t="shared" si="12"/>
        <v>8</v>
      </c>
      <c r="J257" t="str">
        <f t="shared" si="13"/>
        <v>Aug</v>
      </c>
      <c r="K257">
        <f t="shared" si="14"/>
        <v>7</v>
      </c>
      <c r="L257" t="str">
        <f t="shared" si="15"/>
        <v>Sat</v>
      </c>
    </row>
    <row r="258" spans="1:12" x14ac:dyDescent="0.25">
      <c r="A258" s="1">
        <v>45675</v>
      </c>
      <c r="B258" t="s">
        <v>41</v>
      </c>
      <c r="C258" t="s">
        <v>9</v>
      </c>
      <c r="D258" t="s">
        <v>10</v>
      </c>
      <c r="E258" t="s">
        <v>22</v>
      </c>
      <c r="F258">
        <v>3</v>
      </c>
      <c r="G258">
        <v>699.36</v>
      </c>
      <c r="H258">
        <v>2098.08</v>
      </c>
      <c r="I258">
        <f t="shared" ref="I258:I321" si="16">MONTH(A258)</f>
        <v>1</v>
      </c>
      <c r="J258" t="str">
        <f t="shared" ref="J258:J321" si="17">TEXT(A258,"MMM")</f>
        <v>Jan</v>
      </c>
      <c r="K258">
        <f t="shared" ref="K258:K321" si="18">WEEKDAY(A258,1)</f>
        <v>7</v>
      </c>
      <c r="L258" t="str">
        <f t="shared" ref="L258:L321" si="19">TEXT(K258,"DDD")</f>
        <v>Sat</v>
      </c>
    </row>
    <row r="259" spans="1:12" x14ac:dyDescent="0.25">
      <c r="A259" s="1">
        <v>45756</v>
      </c>
      <c r="B259" t="s">
        <v>20</v>
      </c>
      <c r="C259" t="s">
        <v>21</v>
      </c>
      <c r="D259" t="s">
        <v>19</v>
      </c>
      <c r="E259" t="s">
        <v>26</v>
      </c>
      <c r="F259">
        <v>5</v>
      </c>
      <c r="G259">
        <v>1818.95</v>
      </c>
      <c r="H259">
        <v>9094.75</v>
      </c>
      <c r="I259">
        <f t="shared" si="16"/>
        <v>4</v>
      </c>
      <c r="J259" t="str">
        <f t="shared" si="17"/>
        <v>Apr</v>
      </c>
      <c r="K259">
        <f t="shared" si="18"/>
        <v>4</v>
      </c>
      <c r="L259" t="str">
        <f t="shared" si="19"/>
        <v>Wed</v>
      </c>
    </row>
    <row r="260" spans="1:12" x14ac:dyDescent="0.25">
      <c r="A260" s="1">
        <v>45698</v>
      </c>
      <c r="B260" t="s">
        <v>25</v>
      </c>
      <c r="C260" t="s">
        <v>9</v>
      </c>
      <c r="D260" t="s">
        <v>10</v>
      </c>
      <c r="E260" t="s">
        <v>22</v>
      </c>
      <c r="F260">
        <v>2</v>
      </c>
      <c r="G260">
        <v>2650.05</v>
      </c>
      <c r="H260">
        <v>5300.1</v>
      </c>
      <c r="I260">
        <f t="shared" si="16"/>
        <v>2</v>
      </c>
      <c r="J260" t="str">
        <f t="shared" si="17"/>
        <v>Feb</v>
      </c>
      <c r="K260">
        <f t="shared" si="18"/>
        <v>2</v>
      </c>
      <c r="L260" t="str">
        <f t="shared" si="19"/>
        <v>Mon</v>
      </c>
    </row>
    <row r="261" spans="1:12" x14ac:dyDescent="0.25">
      <c r="A261" s="1">
        <v>45801</v>
      </c>
      <c r="B261" t="s">
        <v>40</v>
      </c>
      <c r="C261" t="s">
        <v>9</v>
      </c>
      <c r="D261" t="s">
        <v>19</v>
      </c>
      <c r="E261" t="s">
        <v>26</v>
      </c>
      <c r="F261">
        <v>3</v>
      </c>
      <c r="G261">
        <v>5470.21</v>
      </c>
      <c r="H261">
        <v>16410.63</v>
      </c>
      <c r="I261">
        <f t="shared" si="16"/>
        <v>5</v>
      </c>
      <c r="J261" t="str">
        <f t="shared" si="17"/>
        <v>May</v>
      </c>
      <c r="K261">
        <f t="shared" si="18"/>
        <v>7</v>
      </c>
      <c r="L261" t="str">
        <f t="shared" si="19"/>
        <v>Sat</v>
      </c>
    </row>
    <row r="262" spans="1:12" x14ac:dyDescent="0.25">
      <c r="A262" s="1">
        <v>45820</v>
      </c>
      <c r="B262" t="s">
        <v>20</v>
      </c>
      <c r="C262" t="s">
        <v>13</v>
      </c>
      <c r="D262" t="s">
        <v>10</v>
      </c>
      <c r="E262" t="s">
        <v>11</v>
      </c>
      <c r="F262">
        <v>10</v>
      </c>
      <c r="G262">
        <v>1116.1500000000001</v>
      </c>
      <c r="H262">
        <v>11161.5</v>
      </c>
      <c r="I262">
        <f t="shared" si="16"/>
        <v>6</v>
      </c>
      <c r="J262" t="str">
        <f t="shared" si="17"/>
        <v>Jun</v>
      </c>
      <c r="K262">
        <f t="shared" si="18"/>
        <v>5</v>
      </c>
      <c r="L262" t="str">
        <f t="shared" si="19"/>
        <v>Thu</v>
      </c>
    </row>
    <row r="263" spans="1:12" x14ac:dyDescent="0.25">
      <c r="A263" s="1">
        <v>45926</v>
      </c>
      <c r="B263" t="s">
        <v>12</v>
      </c>
      <c r="C263" t="s">
        <v>9</v>
      </c>
      <c r="D263" t="s">
        <v>14</v>
      </c>
      <c r="E263" t="s">
        <v>18</v>
      </c>
      <c r="F263">
        <v>9</v>
      </c>
      <c r="G263">
        <v>862.68</v>
      </c>
      <c r="H263">
        <v>7764.12</v>
      </c>
      <c r="I263">
        <f t="shared" si="16"/>
        <v>9</v>
      </c>
      <c r="J263" t="str">
        <f t="shared" si="17"/>
        <v>Sep</v>
      </c>
      <c r="K263">
        <f t="shared" si="18"/>
        <v>6</v>
      </c>
      <c r="L263" t="str">
        <f t="shared" si="19"/>
        <v>Fri</v>
      </c>
    </row>
    <row r="264" spans="1:12" x14ac:dyDescent="0.25">
      <c r="A264" s="1">
        <v>45932</v>
      </c>
      <c r="B264" t="s">
        <v>41</v>
      </c>
      <c r="C264" t="s">
        <v>13</v>
      </c>
      <c r="D264" t="s">
        <v>19</v>
      </c>
      <c r="E264" t="s">
        <v>15</v>
      </c>
      <c r="F264">
        <v>11</v>
      </c>
      <c r="G264">
        <v>685.1</v>
      </c>
      <c r="H264">
        <v>7536.1</v>
      </c>
      <c r="I264">
        <f t="shared" si="16"/>
        <v>10</v>
      </c>
      <c r="J264" t="str">
        <f t="shared" si="17"/>
        <v>Oct</v>
      </c>
      <c r="K264">
        <f t="shared" si="18"/>
        <v>5</v>
      </c>
      <c r="L264" t="str">
        <f t="shared" si="19"/>
        <v>Thu</v>
      </c>
    </row>
    <row r="265" spans="1:12" x14ac:dyDescent="0.25">
      <c r="A265" s="1">
        <v>45860</v>
      </c>
      <c r="B265" t="s">
        <v>24</v>
      </c>
      <c r="C265" t="s">
        <v>9</v>
      </c>
      <c r="D265" t="s">
        <v>17</v>
      </c>
      <c r="E265" t="s">
        <v>18</v>
      </c>
      <c r="F265">
        <v>15</v>
      </c>
      <c r="G265">
        <v>1220.96</v>
      </c>
      <c r="H265">
        <v>18314.400000000001</v>
      </c>
      <c r="I265">
        <f t="shared" si="16"/>
        <v>7</v>
      </c>
      <c r="J265" t="str">
        <f t="shared" si="17"/>
        <v>Jul</v>
      </c>
      <c r="K265">
        <f t="shared" si="18"/>
        <v>3</v>
      </c>
      <c r="L265" t="str">
        <f t="shared" si="19"/>
        <v>Tue</v>
      </c>
    </row>
    <row r="266" spans="1:12" x14ac:dyDescent="0.25">
      <c r="A266" s="1">
        <v>45764</v>
      </c>
      <c r="B266" t="s">
        <v>8</v>
      </c>
      <c r="C266" t="s">
        <v>21</v>
      </c>
      <c r="D266" t="s">
        <v>14</v>
      </c>
      <c r="E266" t="s">
        <v>26</v>
      </c>
      <c r="F266">
        <v>9</v>
      </c>
      <c r="G266">
        <v>1222.44</v>
      </c>
      <c r="H266">
        <v>11001.96</v>
      </c>
      <c r="I266">
        <f t="shared" si="16"/>
        <v>4</v>
      </c>
      <c r="J266" t="str">
        <f t="shared" si="17"/>
        <v>Apr</v>
      </c>
      <c r="K266">
        <f t="shared" si="18"/>
        <v>5</v>
      </c>
      <c r="L266" t="str">
        <f t="shared" si="19"/>
        <v>Thu</v>
      </c>
    </row>
    <row r="267" spans="1:12" x14ac:dyDescent="0.25">
      <c r="A267" s="1">
        <v>45677</v>
      </c>
      <c r="B267" t="s">
        <v>12</v>
      </c>
      <c r="C267" t="s">
        <v>9</v>
      </c>
      <c r="D267" t="s">
        <v>17</v>
      </c>
      <c r="E267" t="s">
        <v>11</v>
      </c>
      <c r="F267">
        <v>6</v>
      </c>
      <c r="G267">
        <v>727.21</v>
      </c>
      <c r="H267">
        <v>4363.26</v>
      </c>
      <c r="I267">
        <f t="shared" si="16"/>
        <v>1</v>
      </c>
      <c r="J267" t="str">
        <f t="shared" si="17"/>
        <v>Jan</v>
      </c>
      <c r="K267">
        <f t="shared" si="18"/>
        <v>2</v>
      </c>
      <c r="L267" t="str">
        <f t="shared" si="19"/>
        <v>Mon</v>
      </c>
    </row>
    <row r="268" spans="1:12" x14ac:dyDescent="0.25">
      <c r="A268" s="1">
        <v>45716</v>
      </c>
      <c r="B268" t="s">
        <v>24</v>
      </c>
      <c r="C268" t="s">
        <v>9</v>
      </c>
      <c r="D268" t="s">
        <v>17</v>
      </c>
      <c r="E268" t="s">
        <v>11</v>
      </c>
      <c r="F268">
        <v>14</v>
      </c>
      <c r="G268">
        <v>1112.92</v>
      </c>
      <c r="H268">
        <v>15580.88</v>
      </c>
      <c r="I268">
        <f t="shared" si="16"/>
        <v>2</v>
      </c>
      <c r="J268" t="str">
        <f t="shared" si="17"/>
        <v>Feb</v>
      </c>
      <c r="K268">
        <f t="shared" si="18"/>
        <v>6</v>
      </c>
      <c r="L268" t="str">
        <f t="shared" si="19"/>
        <v>Fri</v>
      </c>
    </row>
    <row r="269" spans="1:12" x14ac:dyDescent="0.25">
      <c r="A269" s="1">
        <v>45932</v>
      </c>
      <c r="B269" t="s">
        <v>24</v>
      </c>
      <c r="C269" t="s">
        <v>21</v>
      </c>
      <c r="D269" t="s">
        <v>19</v>
      </c>
      <c r="E269" t="s">
        <v>11</v>
      </c>
      <c r="F269">
        <v>11</v>
      </c>
      <c r="G269">
        <v>710.43</v>
      </c>
      <c r="H269">
        <v>7814.73</v>
      </c>
      <c r="I269">
        <f t="shared" si="16"/>
        <v>10</v>
      </c>
      <c r="J269" t="str">
        <f t="shared" si="17"/>
        <v>Oct</v>
      </c>
      <c r="K269">
        <f t="shared" si="18"/>
        <v>5</v>
      </c>
      <c r="L269" t="str">
        <f t="shared" si="19"/>
        <v>Thu</v>
      </c>
    </row>
    <row r="270" spans="1:12" x14ac:dyDescent="0.25">
      <c r="A270" s="1">
        <v>45873</v>
      </c>
      <c r="B270" t="s">
        <v>16</v>
      </c>
      <c r="C270" t="s">
        <v>9</v>
      </c>
      <c r="D270" t="s">
        <v>17</v>
      </c>
      <c r="E270" t="s">
        <v>11</v>
      </c>
      <c r="F270">
        <v>18</v>
      </c>
      <c r="G270">
        <v>2263.98</v>
      </c>
      <c r="H270">
        <v>40751.64</v>
      </c>
      <c r="I270">
        <f t="shared" si="16"/>
        <v>8</v>
      </c>
      <c r="J270" t="str">
        <f t="shared" si="17"/>
        <v>Aug</v>
      </c>
      <c r="K270">
        <f t="shared" si="18"/>
        <v>2</v>
      </c>
      <c r="L270" t="str">
        <f t="shared" si="19"/>
        <v>Mon</v>
      </c>
    </row>
    <row r="271" spans="1:12" x14ac:dyDescent="0.25">
      <c r="A271" s="1">
        <v>45950</v>
      </c>
      <c r="B271" t="s">
        <v>8</v>
      </c>
      <c r="C271" t="s">
        <v>13</v>
      </c>
      <c r="D271" t="s">
        <v>19</v>
      </c>
      <c r="E271" t="s">
        <v>15</v>
      </c>
      <c r="F271">
        <v>16</v>
      </c>
      <c r="G271">
        <v>1516.67</v>
      </c>
      <c r="H271">
        <v>24266.720000000001</v>
      </c>
      <c r="I271">
        <f t="shared" si="16"/>
        <v>10</v>
      </c>
      <c r="J271" t="str">
        <f t="shared" si="17"/>
        <v>Oct</v>
      </c>
      <c r="K271">
        <f t="shared" si="18"/>
        <v>2</v>
      </c>
      <c r="L271" t="str">
        <f t="shared" si="19"/>
        <v>Mon</v>
      </c>
    </row>
    <row r="272" spans="1:12" x14ac:dyDescent="0.25">
      <c r="A272" s="1">
        <v>45665</v>
      </c>
      <c r="B272" t="s">
        <v>16</v>
      </c>
      <c r="C272" t="s">
        <v>9</v>
      </c>
      <c r="D272" t="s">
        <v>17</v>
      </c>
      <c r="E272" t="s">
        <v>15</v>
      </c>
      <c r="F272">
        <v>6</v>
      </c>
      <c r="G272">
        <v>3052.21</v>
      </c>
      <c r="H272">
        <v>18313.259999999998</v>
      </c>
      <c r="I272">
        <f t="shared" si="16"/>
        <v>1</v>
      </c>
      <c r="J272" t="str">
        <f t="shared" si="17"/>
        <v>Jan</v>
      </c>
      <c r="K272">
        <f t="shared" si="18"/>
        <v>4</v>
      </c>
      <c r="L272" t="str">
        <f t="shared" si="19"/>
        <v>Wed</v>
      </c>
    </row>
    <row r="273" spans="1:12" x14ac:dyDescent="0.25">
      <c r="A273" s="1">
        <v>45742</v>
      </c>
      <c r="B273" t="s">
        <v>16</v>
      </c>
      <c r="C273" t="s">
        <v>9</v>
      </c>
      <c r="D273" t="s">
        <v>10</v>
      </c>
      <c r="E273" t="s">
        <v>26</v>
      </c>
      <c r="F273">
        <v>11</v>
      </c>
      <c r="G273">
        <v>2774.87</v>
      </c>
      <c r="H273">
        <v>30523.57</v>
      </c>
      <c r="I273">
        <f t="shared" si="16"/>
        <v>3</v>
      </c>
      <c r="J273" t="str">
        <f t="shared" si="17"/>
        <v>Mar</v>
      </c>
      <c r="K273">
        <f t="shared" si="18"/>
        <v>4</v>
      </c>
      <c r="L273" t="str">
        <f t="shared" si="19"/>
        <v>Wed</v>
      </c>
    </row>
    <row r="274" spans="1:12" x14ac:dyDescent="0.25">
      <c r="A274" s="1">
        <v>45770</v>
      </c>
      <c r="B274" t="s">
        <v>16</v>
      </c>
      <c r="C274" t="s">
        <v>9</v>
      </c>
      <c r="D274" t="s">
        <v>14</v>
      </c>
      <c r="E274" t="s">
        <v>18</v>
      </c>
      <c r="F274">
        <v>12</v>
      </c>
      <c r="G274">
        <v>1919.66</v>
      </c>
      <c r="H274">
        <v>23035.919999999998</v>
      </c>
      <c r="I274">
        <f t="shared" si="16"/>
        <v>4</v>
      </c>
      <c r="J274" t="str">
        <f t="shared" si="17"/>
        <v>Apr</v>
      </c>
      <c r="K274">
        <f t="shared" si="18"/>
        <v>4</v>
      </c>
      <c r="L274" t="str">
        <f t="shared" si="19"/>
        <v>Wed</v>
      </c>
    </row>
    <row r="275" spans="1:12" x14ac:dyDescent="0.25">
      <c r="A275" s="1">
        <v>46001</v>
      </c>
      <c r="B275" t="s">
        <v>8</v>
      </c>
      <c r="C275" t="s">
        <v>9</v>
      </c>
      <c r="D275" t="s">
        <v>17</v>
      </c>
      <c r="E275" t="s">
        <v>11</v>
      </c>
      <c r="F275">
        <v>16</v>
      </c>
      <c r="G275">
        <v>1435.32</v>
      </c>
      <c r="H275">
        <v>22965.119999999999</v>
      </c>
      <c r="I275">
        <f t="shared" si="16"/>
        <v>12</v>
      </c>
      <c r="J275" t="str">
        <f t="shared" si="17"/>
        <v>Dec</v>
      </c>
      <c r="K275">
        <f t="shared" si="18"/>
        <v>4</v>
      </c>
      <c r="L275" t="str">
        <f t="shared" si="19"/>
        <v>Wed</v>
      </c>
    </row>
    <row r="276" spans="1:12" x14ac:dyDescent="0.25">
      <c r="A276" s="1">
        <v>45960</v>
      </c>
      <c r="B276" t="s">
        <v>24</v>
      </c>
      <c r="C276" t="s">
        <v>9</v>
      </c>
      <c r="D276" t="s">
        <v>14</v>
      </c>
      <c r="E276" t="s">
        <v>18</v>
      </c>
      <c r="F276">
        <v>2</v>
      </c>
      <c r="G276">
        <v>1299.6500000000001</v>
      </c>
      <c r="H276">
        <v>2599.3000000000002</v>
      </c>
      <c r="I276">
        <f t="shared" si="16"/>
        <v>10</v>
      </c>
      <c r="J276" t="str">
        <f t="shared" si="17"/>
        <v>Oct</v>
      </c>
      <c r="K276">
        <f t="shared" si="18"/>
        <v>5</v>
      </c>
      <c r="L276" t="str">
        <f t="shared" si="19"/>
        <v>Thu</v>
      </c>
    </row>
    <row r="277" spans="1:12" x14ac:dyDescent="0.25">
      <c r="A277" s="1">
        <v>45719</v>
      </c>
      <c r="B277" t="s">
        <v>40</v>
      </c>
      <c r="C277" t="s">
        <v>9</v>
      </c>
      <c r="D277" t="s">
        <v>17</v>
      </c>
      <c r="E277" t="s">
        <v>22</v>
      </c>
      <c r="F277">
        <v>16</v>
      </c>
      <c r="G277">
        <v>5757.28</v>
      </c>
      <c r="H277">
        <v>92116.479999999996</v>
      </c>
      <c r="I277">
        <f t="shared" si="16"/>
        <v>3</v>
      </c>
      <c r="J277" t="str">
        <f t="shared" si="17"/>
        <v>Mar</v>
      </c>
      <c r="K277">
        <f t="shared" si="18"/>
        <v>2</v>
      </c>
      <c r="L277" t="str">
        <f t="shared" si="19"/>
        <v>Mon</v>
      </c>
    </row>
    <row r="278" spans="1:12" x14ac:dyDescent="0.25">
      <c r="A278" s="1">
        <v>45901</v>
      </c>
      <c r="B278" t="s">
        <v>40</v>
      </c>
      <c r="C278" t="s">
        <v>13</v>
      </c>
      <c r="D278" t="s">
        <v>19</v>
      </c>
      <c r="E278" t="s">
        <v>26</v>
      </c>
      <c r="F278">
        <v>6</v>
      </c>
      <c r="G278">
        <v>4481.1000000000004</v>
      </c>
      <c r="H278">
        <v>26886.6</v>
      </c>
      <c r="I278">
        <f t="shared" si="16"/>
        <v>9</v>
      </c>
      <c r="J278" t="str">
        <f t="shared" si="17"/>
        <v>Sep</v>
      </c>
      <c r="K278">
        <f t="shared" si="18"/>
        <v>2</v>
      </c>
      <c r="L278" t="str">
        <f t="shared" si="19"/>
        <v>Mon</v>
      </c>
    </row>
    <row r="279" spans="1:12" x14ac:dyDescent="0.25">
      <c r="A279" s="1">
        <v>45758</v>
      </c>
      <c r="B279" t="s">
        <v>23</v>
      </c>
      <c r="C279" t="s">
        <v>21</v>
      </c>
      <c r="D279" t="s">
        <v>14</v>
      </c>
      <c r="E279" t="s">
        <v>26</v>
      </c>
      <c r="F279">
        <v>13</v>
      </c>
      <c r="G279">
        <v>942.95</v>
      </c>
      <c r="H279">
        <v>12258.35</v>
      </c>
      <c r="I279">
        <f t="shared" si="16"/>
        <v>4</v>
      </c>
      <c r="J279" t="str">
        <f t="shared" si="17"/>
        <v>Apr</v>
      </c>
      <c r="K279">
        <f t="shared" si="18"/>
        <v>6</v>
      </c>
      <c r="L279" t="str">
        <f t="shared" si="19"/>
        <v>Fri</v>
      </c>
    </row>
    <row r="280" spans="1:12" x14ac:dyDescent="0.25">
      <c r="A280" s="1">
        <v>45995</v>
      </c>
      <c r="B280" t="s">
        <v>39</v>
      </c>
      <c r="C280" t="s">
        <v>21</v>
      </c>
      <c r="D280" t="s">
        <v>14</v>
      </c>
      <c r="E280" t="s">
        <v>18</v>
      </c>
      <c r="F280">
        <v>15</v>
      </c>
      <c r="G280">
        <v>16171.88</v>
      </c>
      <c r="H280">
        <v>242578.2</v>
      </c>
      <c r="I280">
        <f t="shared" si="16"/>
        <v>12</v>
      </c>
      <c r="J280" t="str">
        <f t="shared" si="17"/>
        <v>Dec</v>
      </c>
      <c r="K280">
        <f t="shared" si="18"/>
        <v>5</v>
      </c>
      <c r="L280" t="str">
        <f t="shared" si="19"/>
        <v>Thu</v>
      </c>
    </row>
    <row r="281" spans="1:12" x14ac:dyDescent="0.25">
      <c r="A281" s="1">
        <v>45855</v>
      </c>
      <c r="B281" t="s">
        <v>24</v>
      </c>
      <c r="C281" t="s">
        <v>13</v>
      </c>
      <c r="D281" t="s">
        <v>19</v>
      </c>
      <c r="E281" t="s">
        <v>15</v>
      </c>
      <c r="F281">
        <v>1</v>
      </c>
      <c r="G281">
        <v>842.53</v>
      </c>
      <c r="H281">
        <v>842.53</v>
      </c>
      <c r="I281">
        <f t="shared" si="16"/>
        <v>7</v>
      </c>
      <c r="J281" t="str">
        <f t="shared" si="17"/>
        <v>Jul</v>
      </c>
      <c r="K281">
        <f t="shared" si="18"/>
        <v>5</v>
      </c>
      <c r="L281" t="str">
        <f t="shared" si="19"/>
        <v>Thu</v>
      </c>
    </row>
    <row r="282" spans="1:12" x14ac:dyDescent="0.25">
      <c r="A282" s="1">
        <v>45947</v>
      </c>
      <c r="B282" t="s">
        <v>25</v>
      </c>
      <c r="C282" t="s">
        <v>21</v>
      </c>
      <c r="D282" t="s">
        <v>10</v>
      </c>
      <c r="E282" t="s">
        <v>11</v>
      </c>
      <c r="F282">
        <v>8</v>
      </c>
      <c r="G282">
        <v>3853.25</v>
      </c>
      <c r="H282">
        <v>30826</v>
      </c>
      <c r="I282">
        <f t="shared" si="16"/>
        <v>10</v>
      </c>
      <c r="J282" t="str">
        <f t="shared" si="17"/>
        <v>Oct</v>
      </c>
      <c r="K282">
        <f t="shared" si="18"/>
        <v>6</v>
      </c>
      <c r="L282" t="str">
        <f t="shared" si="19"/>
        <v>Fri</v>
      </c>
    </row>
    <row r="283" spans="1:12" x14ac:dyDescent="0.25">
      <c r="A283" s="1">
        <v>45986</v>
      </c>
      <c r="B283" t="s">
        <v>16</v>
      </c>
      <c r="C283" t="s">
        <v>21</v>
      </c>
      <c r="D283" t="s">
        <v>17</v>
      </c>
      <c r="E283" t="s">
        <v>11</v>
      </c>
      <c r="F283">
        <v>8</v>
      </c>
      <c r="G283">
        <v>2528.62</v>
      </c>
      <c r="H283">
        <v>20228.96</v>
      </c>
      <c r="I283">
        <f t="shared" si="16"/>
        <v>11</v>
      </c>
      <c r="J283" t="str">
        <f t="shared" si="17"/>
        <v>Nov</v>
      </c>
      <c r="K283">
        <f t="shared" si="18"/>
        <v>3</v>
      </c>
      <c r="L283" t="str">
        <f t="shared" si="19"/>
        <v>Tue</v>
      </c>
    </row>
    <row r="284" spans="1:12" x14ac:dyDescent="0.25">
      <c r="A284" s="1">
        <v>45773</v>
      </c>
      <c r="B284" t="s">
        <v>12</v>
      </c>
      <c r="C284" t="s">
        <v>9</v>
      </c>
      <c r="D284" t="s">
        <v>19</v>
      </c>
      <c r="E284" t="s">
        <v>15</v>
      </c>
      <c r="F284">
        <v>2</v>
      </c>
      <c r="G284">
        <v>914.38</v>
      </c>
      <c r="H284">
        <v>1828.76</v>
      </c>
      <c r="I284">
        <f t="shared" si="16"/>
        <v>4</v>
      </c>
      <c r="J284" t="str">
        <f t="shared" si="17"/>
        <v>Apr</v>
      </c>
      <c r="K284">
        <f t="shared" si="18"/>
        <v>7</v>
      </c>
      <c r="L284" t="str">
        <f t="shared" si="19"/>
        <v>Sat</v>
      </c>
    </row>
    <row r="285" spans="1:12" x14ac:dyDescent="0.25">
      <c r="A285" s="1">
        <v>45956</v>
      </c>
      <c r="B285" t="s">
        <v>8</v>
      </c>
      <c r="C285" t="s">
        <v>13</v>
      </c>
      <c r="D285" t="s">
        <v>10</v>
      </c>
      <c r="E285" t="s">
        <v>26</v>
      </c>
      <c r="F285">
        <v>12</v>
      </c>
      <c r="G285">
        <v>1527.98</v>
      </c>
      <c r="H285">
        <v>18335.759999999998</v>
      </c>
      <c r="I285">
        <f t="shared" si="16"/>
        <v>10</v>
      </c>
      <c r="J285" t="str">
        <f t="shared" si="17"/>
        <v>Oct</v>
      </c>
      <c r="K285">
        <f t="shared" si="18"/>
        <v>1</v>
      </c>
      <c r="L285" t="str">
        <f t="shared" si="19"/>
        <v>Sun</v>
      </c>
    </row>
    <row r="286" spans="1:12" x14ac:dyDescent="0.25">
      <c r="A286" s="1">
        <v>45678</v>
      </c>
      <c r="B286" t="s">
        <v>20</v>
      </c>
      <c r="C286" t="s">
        <v>13</v>
      </c>
      <c r="D286" t="s">
        <v>10</v>
      </c>
      <c r="E286" t="s">
        <v>22</v>
      </c>
      <c r="F286">
        <v>15</v>
      </c>
      <c r="G286">
        <v>1269.1300000000001</v>
      </c>
      <c r="H286">
        <v>19036.95</v>
      </c>
      <c r="I286">
        <f t="shared" si="16"/>
        <v>1</v>
      </c>
      <c r="J286" t="str">
        <f t="shared" si="17"/>
        <v>Jan</v>
      </c>
      <c r="K286">
        <f t="shared" si="18"/>
        <v>3</v>
      </c>
      <c r="L286" t="str">
        <f t="shared" si="19"/>
        <v>Tue</v>
      </c>
    </row>
    <row r="287" spans="1:12" x14ac:dyDescent="0.25">
      <c r="A287" s="1">
        <v>45859</v>
      </c>
      <c r="B287" t="s">
        <v>23</v>
      </c>
      <c r="C287" t="s">
        <v>13</v>
      </c>
      <c r="D287" t="s">
        <v>19</v>
      </c>
      <c r="E287" t="s">
        <v>15</v>
      </c>
      <c r="F287">
        <v>13</v>
      </c>
      <c r="G287">
        <v>728.78</v>
      </c>
      <c r="H287">
        <v>9474.14</v>
      </c>
      <c r="I287">
        <f t="shared" si="16"/>
        <v>7</v>
      </c>
      <c r="J287" t="str">
        <f t="shared" si="17"/>
        <v>Jul</v>
      </c>
      <c r="K287">
        <f t="shared" si="18"/>
        <v>2</v>
      </c>
      <c r="L287" t="str">
        <f t="shared" si="19"/>
        <v>Mon</v>
      </c>
    </row>
    <row r="288" spans="1:12" x14ac:dyDescent="0.25">
      <c r="A288" s="1">
        <v>45946</v>
      </c>
      <c r="B288" t="s">
        <v>8</v>
      </c>
      <c r="C288" t="s">
        <v>9</v>
      </c>
      <c r="D288" t="s">
        <v>19</v>
      </c>
      <c r="E288" t="s">
        <v>11</v>
      </c>
      <c r="F288">
        <v>15</v>
      </c>
      <c r="G288">
        <v>1223.23</v>
      </c>
      <c r="H288">
        <v>18348.45</v>
      </c>
      <c r="I288">
        <f t="shared" si="16"/>
        <v>10</v>
      </c>
      <c r="J288" t="str">
        <f t="shared" si="17"/>
        <v>Oct</v>
      </c>
      <c r="K288">
        <f t="shared" si="18"/>
        <v>5</v>
      </c>
      <c r="L288" t="str">
        <f t="shared" si="19"/>
        <v>Thu</v>
      </c>
    </row>
    <row r="289" spans="1:12" x14ac:dyDescent="0.25">
      <c r="A289" s="1">
        <v>45792</v>
      </c>
      <c r="B289" t="s">
        <v>12</v>
      </c>
      <c r="C289" t="s">
        <v>21</v>
      </c>
      <c r="D289" t="s">
        <v>14</v>
      </c>
      <c r="E289" t="s">
        <v>26</v>
      </c>
      <c r="F289">
        <v>17</v>
      </c>
      <c r="G289">
        <v>1157.43</v>
      </c>
      <c r="H289">
        <v>19676.310000000001</v>
      </c>
      <c r="I289">
        <f t="shared" si="16"/>
        <v>5</v>
      </c>
      <c r="J289" t="str">
        <f t="shared" si="17"/>
        <v>May</v>
      </c>
      <c r="K289">
        <f t="shared" si="18"/>
        <v>5</v>
      </c>
      <c r="L289" t="str">
        <f t="shared" si="19"/>
        <v>Thu</v>
      </c>
    </row>
    <row r="290" spans="1:12" x14ac:dyDescent="0.25">
      <c r="A290" s="1">
        <v>45746</v>
      </c>
      <c r="B290" t="s">
        <v>40</v>
      </c>
      <c r="C290" t="s">
        <v>21</v>
      </c>
      <c r="D290" t="s">
        <v>10</v>
      </c>
      <c r="E290" t="s">
        <v>18</v>
      </c>
      <c r="F290">
        <v>10</v>
      </c>
      <c r="G290">
        <v>5899.34</v>
      </c>
      <c r="H290">
        <v>58993.4</v>
      </c>
      <c r="I290">
        <f t="shared" si="16"/>
        <v>3</v>
      </c>
      <c r="J290" t="str">
        <f t="shared" si="17"/>
        <v>Mar</v>
      </c>
      <c r="K290">
        <f t="shared" si="18"/>
        <v>1</v>
      </c>
      <c r="L290" t="str">
        <f t="shared" si="19"/>
        <v>Sun</v>
      </c>
    </row>
    <row r="291" spans="1:12" x14ac:dyDescent="0.25">
      <c r="A291" s="1">
        <v>45815</v>
      </c>
      <c r="B291" t="s">
        <v>20</v>
      </c>
      <c r="C291" t="s">
        <v>13</v>
      </c>
      <c r="D291" t="s">
        <v>19</v>
      </c>
      <c r="E291" t="s">
        <v>15</v>
      </c>
      <c r="F291">
        <v>10</v>
      </c>
      <c r="G291">
        <v>1216.71</v>
      </c>
      <c r="H291">
        <v>12167.1</v>
      </c>
      <c r="I291">
        <f t="shared" si="16"/>
        <v>6</v>
      </c>
      <c r="J291" t="str">
        <f t="shared" si="17"/>
        <v>Jun</v>
      </c>
      <c r="K291">
        <f t="shared" si="18"/>
        <v>7</v>
      </c>
      <c r="L291" t="str">
        <f t="shared" si="19"/>
        <v>Sat</v>
      </c>
    </row>
    <row r="292" spans="1:12" x14ac:dyDescent="0.25">
      <c r="A292" s="1">
        <v>45693</v>
      </c>
      <c r="B292" t="s">
        <v>8</v>
      </c>
      <c r="C292" t="s">
        <v>21</v>
      </c>
      <c r="D292" t="s">
        <v>10</v>
      </c>
      <c r="E292" t="s">
        <v>22</v>
      </c>
      <c r="F292">
        <v>12</v>
      </c>
      <c r="G292">
        <v>871.26</v>
      </c>
      <c r="H292">
        <v>10455.120000000001</v>
      </c>
      <c r="I292">
        <f t="shared" si="16"/>
        <v>2</v>
      </c>
      <c r="J292" t="str">
        <f t="shared" si="17"/>
        <v>Feb</v>
      </c>
      <c r="K292">
        <f t="shared" si="18"/>
        <v>4</v>
      </c>
      <c r="L292" t="str">
        <f t="shared" si="19"/>
        <v>Wed</v>
      </c>
    </row>
    <row r="293" spans="1:12" x14ac:dyDescent="0.25">
      <c r="A293" s="1">
        <v>46018</v>
      </c>
      <c r="B293" t="s">
        <v>20</v>
      </c>
      <c r="C293" t="s">
        <v>21</v>
      </c>
      <c r="D293" t="s">
        <v>14</v>
      </c>
      <c r="E293" t="s">
        <v>15</v>
      </c>
      <c r="F293">
        <v>9</v>
      </c>
      <c r="G293">
        <v>1764.37</v>
      </c>
      <c r="H293">
        <v>15879.33</v>
      </c>
      <c r="I293">
        <f t="shared" si="16"/>
        <v>12</v>
      </c>
      <c r="J293" t="str">
        <f t="shared" si="17"/>
        <v>Dec</v>
      </c>
      <c r="K293">
        <f t="shared" si="18"/>
        <v>7</v>
      </c>
      <c r="L293" t="str">
        <f t="shared" si="19"/>
        <v>Sat</v>
      </c>
    </row>
    <row r="294" spans="1:12" x14ac:dyDescent="0.25">
      <c r="A294" s="1">
        <v>45927</v>
      </c>
      <c r="B294" t="s">
        <v>12</v>
      </c>
      <c r="C294" t="s">
        <v>21</v>
      </c>
      <c r="D294" t="s">
        <v>17</v>
      </c>
      <c r="E294" t="s">
        <v>15</v>
      </c>
      <c r="F294">
        <v>10</v>
      </c>
      <c r="G294">
        <v>1116.01</v>
      </c>
      <c r="H294">
        <v>11160.1</v>
      </c>
      <c r="I294">
        <f t="shared" si="16"/>
        <v>9</v>
      </c>
      <c r="J294" t="str">
        <f t="shared" si="17"/>
        <v>Sep</v>
      </c>
      <c r="K294">
        <f t="shared" si="18"/>
        <v>7</v>
      </c>
      <c r="L294" t="str">
        <f t="shared" si="19"/>
        <v>Sat</v>
      </c>
    </row>
    <row r="295" spans="1:12" x14ac:dyDescent="0.25">
      <c r="A295" s="1">
        <v>45864</v>
      </c>
      <c r="B295" t="s">
        <v>39</v>
      </c>
      <c r="C295" t="s">
        <v>21</v>
      </c>
      <c r="D295" t="s">
        <v>10</v>
      </c>
      <c r="E295" t="s">
        <v>22</v>
      </c>
      <c r="F295">
        <v>4</v>
      </c>
      <c r="G295">
        <v>12973.25</v>
      </c>
      <c r="H295">
        <v>51893</v>
      </c>
      <c r="I295">
        <f t="shared" si="16"/>
        <v>7</v>
      </c>
      <c r="J295" t="str">
        <f t="shared" si="17"/>
        <v>Jul</v>
      </c>
      <c r="K295">
        <f t="shared" si="18"/>
        <v>7</v>
      </c>
      <c r="L295" t="str">
        <f t="shared" si="19"/>
        <v>Sat</v>
      </c>
    </row>
    <row r="296" spans="1:12" x14ac:dyDescent="0.25">
      <c r="A296" s="1">
        <v>45676</v>
      </c>
      <c r="B296" t="s">
        <v>8</v>
      </c>
      <c r="C296" t="s">
        <v>13</v>
      </c>
      <c r="D296" t="s">
        <v>14</v>
      </c>
      <c r="E296" t="s">
        <v>18</v>
      </c>
      <c r="F296">
        <v>18</v>
      </c>
      <c r="G296">
        <v>1391.99</v>
      </c>
      <c r="H296">
        <v>25055.82</v>
      </c>
      <c r="I296">
        <f t="shared" si="16"/>
        <v>1</v>
      </c>
      <c r="J296" t="str">
        <f t="shared" si="17"/>
        <v>Jan</v>
      </c>
      <c r="K296">
        <f t="shared" si="18"/>
        <v>1</v>
      </c>
      <c r="L296" t="str">
        <f t="shared" si="19"/>
        <v>Sun</v>
      </c>
    </row>
    <row r="297" spans="1:12" x14ac:dyDescent="0.25">
      <c r="A297" s="1">
        <v>45898</v>
      </c>
      <c r="B297" t="s">
        <v>24</v>
      </c>
      <c r="C297" t="s">
        <v>13</v>
      </c>
      <c r="D297" t="s">
        <v>17</v>
      </c>
      <c r="E297" t="s">
        <v>11</v>
      </c>
      <c r="F297">
        <v>12</v>
      </c>
      <c r="G297">
        <v>1217.68</v>
      </c>
      <c r="H297">
        <v>14612.16</v>
      </c>
      <c r="I297">
        <f t="shared" si="16"/>
        <v>8</v>
      </c>
      <c r="J297" t="str">
        <f t="shared" si="17"/>
        <v>Aug</v>
      </c>
      <c r="K297">
        <f t="shared" si="18"/>
        <v>6</v>
      </c>
      <c r="L297" t="str">
        <f t="shared" si="19"/>
        <v>Fri</v>
      </c>
    </row>
    <row r="298" spans="1:12" x14ac:dyDescent="0.25">
      <c r="A298" s="1">
        <v>45775</v>
      </c>
      <c r="B298" t="s">
        <v>24</v>
      </c>
      <c r="C298" t="s">
        <v>9</v>
      </c>
      <c r="D298" t="s">
        <v>14</v>
      </c>
      <c r="E298" t="s">
        <v>15</v>
      </c>
      <c r="F298">
        <v>15</v>
      </c>
      <c r="G298">
        <v>838.15</v>
      </c>
      <c r="H298">
        <v>12572.25</v>
      </c>
      <c r="I298">
        <f t="shared" si="16"/>
        <v>4</v>
      </c>
      <c r="J298" t="str">
        <f t="shared" si="17"/>
        <v>Apr</v>
      </c>
      <c r="K298">
        <f t="shared" si="18"/>
        <v>2</v>
      </c>
      <c r="L298" t="str">
        <f t="shared" si="19"/>
        <v>Mon</v>
      </c>
    </row>
    <row r="299" spans="1:12" x14ac:dyDescent="0.25">
      <c r="A299" s="1">
        <v>45816</v>
      </c>
      <c r="B299" t="s">
        <v>12</v>
      </c>
      <c r="C299" t="s">
        <v>9</v>
      </c>
      <c r="D299" t="s">
        <v>14</v>
      </c>
      <c r="E299" t="s">
        <v>15</v>
      </c>
      <c r="F299">
        <v>2</v>
      </c>
      <c r="G299">
        <v>778.25</v>
      </c>
      <c r="H299">
        <v>1556.5</v>
      </c>
      <c r="I299">
        <f t="shared" si="16"/>
        <v>6</v>
      </c>
      <c r="J299" t="str">
        <f t="shared" si="17"/>
        <v>Jun</v>
      </c>
      <c r="K299">
        <f t="shared" si="18"/>
        <v>1</v>
      </c>
      <c r="L299" t="str">
        <f t="shared" si="19"/>
        <v>Sun</v>
      </c>
    </row>
    <row r="300" spans="1:12" x14ac:dyDescent="0.25">
      <c r="A300" s="1">
        <v>45919</v>
      </c>
      <c r="B300" t="s">
        <v>24</v>
      </c>
      <c r="C300" t="s">
        <v>21</v>
      </c>
      <c r="D300" t="s">
        <v>10</v>
      </c>
      <c r="E300" t="s">
        <v>26</v>
      </c>
      <c r="F300">
        <v>7</v>
      </c>
      <c r="G300">
        <v>1134.71</v>
      </c>
      <c r="H300">
        <v>7942.97</v>
      </c>
      <c r="I300">
        <f t="shared" si="16"/>
        <v>9</v>
      </c>
      <c r="J300" t="str">
        <f t="shared" si="17"/>
        <v>Sep</v>
      </c>
      <c r="K300">
        <f t="shared" si="18"/>
        <v>6</v>
      </c>
      <c r="L300" t="str">
        <f t="shared" si="19"/>
        <v>Fri</v>
      </c>
    </row>
    <row r="301" spans="1:12" x14ac:dyDescent="0.25">
      <c r="A301" s="1">
        <v>45936</v>
      </c>
      <c r="B301" t="s">
        <v>23</v>
      </c>
      <c r="C301" t="s">
        <v>21</v>
      </c>
      <c r="D301" t="s">
        <v>14</v>
      </c>
      <c r="E301" t="s">
        <v>26</v>
      </c>
      <c r="F301">
        <v>7</v>
      </c>
      <c r="G301">
        <v>930.86</v>
      </c>
      <c r="H301">
        <v>6516.02</v>
      </c>
      <c r="I301">
        <f t="shared" si="16"/>
        <v>10</v>
      </c>
      <c r="J301" t="str">
        <f t="shared" si="17"/>
        <v>Oct</v>
      </c>
      <c r="K301">
        <f t="shared" si="18"/>
        <v>2</v>
      </c>
      <c r="L301" t="str">
        <f t="shared" si="19"/>
        <v>Mon</v>
      </c>
    </row>
    <row r="302" spans="1:12" x14ac:dyDescent="0.25">
      <c r="A302" s="1">
        <v>45693</v>
      </c>
      <c r="B302" t="s">
        <v>41</v>
      </c>
      <c r="C302" t="s">
        <v>9</v>
      </c>
      <c r="D302" t="s">
        <v>17</v>
      </c>
      <c r="E302" t="s">
        <v>18</v>
      </c>
      <c r="F302">
        <v>3</v>
      </c>
      <c r="G302">
        <v>564.42999999999995</v>
      </c>
      <c r="H302">
        <v>1693.29</v>
      </c>
      <c r="I302">
        <f t="shared" si="16"/>
        <v>2</v>
      </c>
      <c r="J302" t="str">
        <f t="shared" si="17"/>
        <v>Feb</v>
      </c>
      <c r="K302">
        <f t="shared" si="18"/>
        <v>4</v>
      </c>
      <c r="L302" t="str">
        <f t="shared" si="19"/>
        <v>Wed</v>
      </c>
    </row>
    <row r="303" spans="1:12" x14ac:dyDescent="0.25">
      <c r="A303" s="1">
        <v>46009</v>
      </c>
      <c r="B303" t="s">
        <v>25</v>
      </c>
      <c r="C303" t="s">
        <v>9</v>
      </c>
      <c r="D303" t="s">
        <v>10</v>
      </c>
      <c r="E303" t="s">
        <v>18</v>
      </c>
      <c r="F303">
        <v>13</v>
      </c>
      <c r="G303">
        <v>3540.03</v>
      </c>
      <c r="H303">
        <v>46020.39</v>
      </c>
      <c r="I303">
        <f t="shared" si="16"/>
        <v>12</v>
      </c>
      <c r="J303" t="str">
        <f t="shared" si="17"/>
        <v>Dec</v>
      </c>
      <c r="K303">
        <f t="shared" si="18"/>
        <v>5</v>
      </c>
      <c r="L303" t="str">
        <f t="shared" si="19"/>
        <v>Thu</v>
      </c>
    </row>
    <row r="304" spans="1:12" x14ac:dyDescent="0.25">
      <c r="A304" s="1">
        <v>45786</v>
      </c>
      <c r="B304" t="s">
        <v>24</v>
      </c>
      <c r="C304" t="s">
        <v>13</v>
      </c>
      <c r="D304" t="s">
        <v>19</v>
      </c>
      <c r="E304" t="s">
        <v>15</v>
      </c>
      <c r="F304">
        <v>8</v>
      </c>
      <c r="G304">
        <v>1228.05</v>
      </c>
      <c r="H304">
        <v>9824.4</v>
      </c>
      <c r="I304">
        <f t="shared" si="16"/>
        <v>5</v>
      </c>
      <c r="J304" t="str">
        <f t="shared" si="17"/>
        <v>May</v>
      </c>
      <c r="K304">
        <f t="shared" si="18"/>
        <v>6</v>
      </c>
      <c r="L304" t="str">
        <f t="shared" si="19"/>
        <v>Fri</v>
      </c>
    </row>
    <row r="305" spans="1:12" x14ac:dyDescent="0.25">
      <c r="A305" s="1">
        <v>45707</v>
      </c>
      <c r="B305" t="s">
        <v>23</v>
      </c>
      <c r="C305" t="s">
        <v>21</v>
      </c>
      <c r="D305" t="s">
        <v>19</v>
      </c>
      <c r="E305" t="s">
        <v>15</v>
      </c>
      <c r="F305">
        <v>3</v>
      </c>
      <c r="G305">
        <v>651.36</v>
      </c>
      <c r="H305">
        <v>1954.08</v>
      </c>
      <c r="I305">
        <f t="shared" si="16"/>
        <v>2</v>
      </c>
      <c r="J305" t="str">
        <f t="shared" si="17"/>
        <v>Feb</v>
      </c>
      <c r="K305">
        <f t="shared" si="18"/>
        <v>4</v>
      </c>
      <c r="L305" t="str">
        <f t="shared" si="19"/>
        <v>Wed</v>
      </c>
    </row>
    <row r="306" spans="1:12" x14ac:dyDescent="0.25">
      <c r="A306" s="1">
        <v>45786</v>
      </c>
      <c r="B306" t="s">
        <v>20</v>
      </c>
      <c r="C306" t="s">
        <v>21</v>
      </c>
      <c r="D306" t="s">
        <v>14</v>
      </c>
      <c r="E306" t="s">
        <v>18</v>
      </c>
      <c r="F306">
        <v>3</v>
      </c>
      <c r="G306">
        <v>1707.59</v>
      </c>
      <c r="H306">
        <v>5122.7700000000004</v>
      </c>
      <c r="I306">
        <f t="shared" si="16"/>
        <v>5</v>
      </c>
      <c r="J306" t="str">
        <f t="shared" si="17"/>
        <v>May</v>
      </c>
      <c r="K306">
        <f t="shared" si="18"/>
        <v>6</v>
      </c>
      <c r="L306" t="str">
        <f t="shared" si="19"/>
        <v>Fri</v>
      </c>
    </row>
    <row r="307" spans="1:12" x14ac:dyDescent="0.25">
      <c r="A307" s="1">
        <v>45942</v>
      </c>
      <c r="B307" t="s">
        <v>8</v>
      </c>
      <c r="C307" t="s">
        <v>21</v>
      </c>
      <c r="D307" t="s">
        <v>19</v>
      </c>
      <c r="E307" t="s">
        <v>26</v>
      </c>
      <c r="F307">
        <v>4</v>
      </c>
      <c r="G307">
        <v>1532.4</v>
      </c>
      <c r="H307">
        <v>6129.6</v>
      </c>
      <c r="I307">
        <f t="shared" si="16"/>
        <v>10</v>
      </c>
      <c r="J307" t="str">
        <f t="shared" si="17"/>
        <v>Oct</v>
      </c>
      <c r="K307">
        <f t="shared" si="18"/>
        <v>1</v>
      </c>
      <c r="L307" t="str">
        <f t="shared" si="19"/>
        <v>Sun</v>
      </c>
    </row>
    <row r="308" spans="1:12" x14ac:dyDescent="0.25">
      <c r="A308" s="1">
        <v>45947</v>
      </c>
      <c r="B308" t="s">
        <v>40</v>
      </c>
      <c r="C308" t="s">
        <v>13</v>
      </c>
      <c r="D308" t="s">
        <v>19</v>
      </c>
      <c r="E308" t="s">
        <v>26</v>
      </c>
      <c r="F308">
        <v>16</v>
      </c>
      <c r="G308">
        <v>3503.71</v>
      </c>
      <c r="H308">
        <v>56059.360000000001</v>
      </c>
      <c r="I308">
        <f t="shared" si="16"/>
        <v>10</v>
      </c>
      <c r="J308" t="str">
        <f t="shared" si="17"/>
        <v>Oct</v>
      </c>
      <c r="K308">
        <f t="shared" si="18"/>
        <v>6</v>
      </c>
      <c r="L308" t="str">
        <f t="shared" si="19"/>
        <v>Fri</v>
      </c>
    </row>
    <row r="309" spans="1:12" x14ac:dyDescent="0.25">
      <c r="A309" s="1">
        <v>45792</v>
      </c>
      <c r="B309" t="s">
        <v>8</v>
      </c>
      <c r="C309" t="s">
        <v>13</v>
      </c>
      <c r="D309" t="s">
        <v>19</v>
      </c>
      <c r="E309" t="s">
        <v>15</v>
      </c>
      <c r="F309">
        <v>19</v>
      </c>
      <c r="G309">
        <v>949.74</v>
      </c>
      <c r="H309">
        <v>18045.060000000001</v>
      </c>
      <c r="I309">
        <f t="shared" si="16"/>
        <v>5</v>
      </c>
      <c r="J309" t="str">
        <f t="shared" si="17"/>
        <v>May</v>
      </c>
      <c r="K309">
        <f t="shared" si="18"/>
        <v>5</v>
      </c>
      <c r="L309" t="str">
        <f t="shared" si="19"/>
        <v>Thu</v>
      </c>
    </row>
    <row r="310" spans="1:12" x14ac:dyDescent="0.25">
      <c r="A310" s="1">
        <v>45662</v>
      </c>
      <c r="B310" t="s">
        <v>8</v>
      </c>
      <c r="C310" t="s">
        <v>9</v>
      </c>
      <c r="D310" t="s">
        <v>17</v>
      </c>
      <c r="E310" t="s">
        <v>15</v>
      </c>
      <c r="F310">
        <v>6</v>
      </c>
      <c r="G310">
        <v>1025.07</v>
      </c>
      <c r="H310">
        <v>6150.42</v>
      </c>
      <c r="I310">
        <f t="shared" si="16"/>
        <v>1</v>
      </c>
      <c r="J310" t="str">
        <f t="shared" si="17"/>
        <v>Jan</v>
      </c>
      <c r="K310">
        <f t="shared" si="18"/>
        <v>1</v>
      </c>
      <c r="L310" t="str">
        <f t="shared" si="19"/>
        <v>Sun</v>
      </c>
    </row>
    <row r="311" spans="1:12" x14ac:dyDescent="0.25">
      <c r="A311" s="1">
        <v>45887</v>
      </c>
      <c r="B311" t="s">
        <v>39</v>
      </c>
      <c r="C311" t="s">
        <v>9</v>
      </c>
      <c r="D311" t="s">
        <v>19</v>
      </c>
      <c r="E311" t="s">
        <v>27</v>
      </c>
      <c r="F311">
        <v>6</v>
      </c>
      <c r="G311">
        <v>11933.74</v>
      </c>
      <c r="H311">
        <v>71602.44</v>
      </c>
      <c r="I311">
        <f t="shared" si="16"/>
        <v>8</v>
      </c>
      <c r="J311" t="str">
        <f t="shared" si="17"/>
        <v>Aug</v>
      </c>
      <c r="K311">
        <f t="shared" si="18"/>
        <v>2</v>
      </c>
      <c r="L311" t="str">
        <f t="shared" si="19"/>
        <v>Mon</v>
      </c>
    </row>
    <row r="312" spans="1:12" x14ac:dyDescent="0.25">
      <c r="A312" s="1">
        <v>45798</v>
      </c>
      <c r="B312" t="s">
        <v>8</v>
      </c>
      <c r="C312" t="s">
        <v>9</v>
      </c>
      <c r="D312" t="s">
        <v>10</v>
      </c>
      <c r="E312" t="s">
        <v>26</v>
      </c>
      <c r="F312">
        <v>13</v>
      </c>
      <c r="G312">
        <v>1099.3</v>
      </c>
      <c r="H312">
        <v>14290.9</v>
      </c>
      <c r="I312">
        <f t="shared" si="16"/>
        <v>5</v>
      </c>
      <c r="J312" t="str">
        <f t="shared" si="17"/>
        <v>May</v>
      </c>
      <c r="K312">
        <f t="shared" si="18"/>
        <v>4</v>
      </c>
      <c r="L312" t="str">
        <f t="shared" si="19"/>
        <v>Wed</v>
      </c>
    </row>
    <row r="313" spans="1:12" x14ac:dyDescent="0.25">
      <c r="A313" s="1">
        <v>45997</v>
      </c>
      <c r="B313" t="s">
        <v>16</v>
      </c>
      <c r="C313" t="s">
        <v>13</v>
      </c>
      <c r="D313" t="s">
        <v>17</v>
      </c>
      <c r="E313" t="s">
        <v>22</v>
      </c>
      <c r="F313">
        <v>1</v>
      </c>
      <c r="G313">
        <v>2208.29</v>
      </c>
      <c r="H313">
        <v>2208.29</v>
      </c>
      <c r="I313">
        <f t="shared" si="16"/>
        <v>12</v>
      </c>
      <c r="J313" t="str">
        <f t="shared" si="17"/>
        <v>Dec</v>
      </c>
      <c r="K313">
        <f t="shared" si="18"/>
        <v>7</v>
      </c>
      <c r="L313" t="str">
        <f t="shared" si="19"/>
        <v>Sat</v>
      </c>
    </row>
    <row r="314" spans="1:12" x14ac:dyDescent="0.25">
      <c r="A314" s="1">
        <v>45836</v>
      </c>
      <c r="B314" t="s">
        <v>20</v>
      </c>
      <c r="C314" t="s">
        <v>21</v>
      </c>
      <c r="D314" t="s">
        <v>19</v>
      </c>
      <c r="E314" t="s">
        <v>26</v>
      </c>
      <c r="F314">
        <v>6</v>
      </c>
      <c r="G314">
        <v>1877.45</v>
      </c>
      <c r="H314">
        <v>11264.7</v>
      </c>
      <c r="I314">
        <f t="shared" si="16"/>
        <v>6</v>
      </c>
      <c r="J314" t="str">
        <f t="shared" si="17"/>
        <v>Jun</v>
      </c>
      <c r="K314">
        <f t="shared" si="18"/>
        <v>7</v>
      </c>
      <c r="L314" t="str">
        <f t="shared" si="19"/>
        <v>Sat</v>
      </c>
    </row>
    <row r="315" spans="1:12" x14ac:dyDescent="0.25">
      <c r="A315" s="1">
        <v>45799</v>
      </c>
      <c r="B315" t="s">
        <v>25</v>
      </c>
      <c r="C315" t="s">
        <v>9</v>
      </c>
      <c r="D315" t="s">
        <v>19</v>
      </c>
      <c r="E315" t="s">
        <v>26</v>
      </c>
      <c r="F315">
        <v>12</v>
      </c>
      <c r="G315">
        <v>4404.25</v>
      </c>
      <c r="H315">
        <v>52851</v>
      </c>
      <c r="I315">
        <f t="shared" si="16"/>
        <v>5</v>
      </c>
      <c r="J315" t="str">
        <f t="shared" si="17"/>
        <v>May</v>
      </c>
      <c r="K315">
        <f t="shared" si="18"/>
        <v>5</v>
      </c>
      <c r="L315" t="str">
        <f t="shared" si="19"/>
        <v>Thu</v>
      </c>
    </row>
    <row r="316" spans="1:12" x14ac:dyDescent="0.25">
      <c r="A316" s="1">
        <v>45699</v>
      </c>
      <c r="B316" t="s">
        <v>25</v>
      </c>
      <c r="C316" t="s">
        <v>21</v>
      </c>
      <c r="D316" t="s">
        <v>17</v>
      </c>
      <c r="E316" t="s">
        <v>11</v>
      </c>
      <c r="F316">
        <v>10</v>
      </c>
      <c r="G316">
        <v>4272.92</v>
      </c>
      <c r="H316">
        <v>42729.2</v>
      </c>
      <c r="I316">
        <f t="shared" si="16"/>
        <v>2</v>
      </c>
      <c r="J316" t="str">
        <f t="shared" si="17"/>
        <v>Feb</v>
      </c>
      <c r="K316">
        <f t="shared" si="18"/>
        <v>3</v>
      </c>
      <c r="L316" t="str">
        <f t="shared" si="19"/>
        <v>Tue</v>
      </c>
    </row>
    <row r="317" spans="1:12" x14ac:dyDescent="0.25">
      <c r="A317" s="1">
        <v>45790</v>
      </c>
      <c r="B317" t="s">
        <v>23</v>
      </c>
      <c r="C317" t="s">
        <v>13</v>
      </c>
      <c r="D317" t="s">
        <v>19</v>
      </c>
      <c r="E317" t="s">
        <v>15</v>
      </c>
      <c r="F317">
        <v>15</v>
      </c>
      <c r="G317">
        <v>753.43</v>
      </c>
      <c r="H317">
        <v>11301.45</v>
      </c>
      <c r="I317">
        <f t="shared" si="16"/>
        <v>5</v>
      </c>
      <c r="J317" t="str">
        <f t="shared" si="17"/>
        <v>May</v>
      </c>
      <c r="K317">
        <f t="shared" si="18"/>
        <v>3</v>
      </c>
      <c r="L317" t="str">
        <f t="shared" si="19"/>
        <v>Tue</v>
      </c>
    </row>
    <row r="318" spans="1:12" x14ac:dyDescent="0.25">
      <c r="A318" s="1">
        <v>45722</v>
      </c>
      <c r="B318" t="s">
        <v>16</v>
      </c>
      <c r="C318" t="s">
        <v>13</v>
      </c>
      <c r="D318" t="s">
        <v>14</v>
      </c>
      <c r="E318" t="s">
        <v>18</v>
      </c>
      <c r="F318">
        <v>18</v>
      </c>
      <c r="G318">
        <v>2711.46</v>
      </c>
      <c r="H318">
        <v>48806.28</v>
      </c>
      <c r="I318">
        <f t="shared" si="16"/>
        <v>3</v>
      </c>
      <c r="J318" t="str">
        <f t="shared" si="17"/>
        <v>Mar</v>
      </c>
      <c r="K318">
        <f t="shared" si="18"/>
        <v>5</v>
      </c>
      <c r="L318" t="str">
        <f t="shared" si="19"/>
        <v>Thu</v>
      </c>
    </row>
    <row r="319" spans="1:12" x14ac:dyDescent="0.25">
      <c r="A319" s="1">
        <v>45682</v>
      </c>
      <c r="B319" t="s">
        <v>16</v>
      </c>
      <c r="C319" t="s">
        <v>9</v>
      </c>
      <c r="D319" t="s">
        <v>17</v>
      </c>
      <c r="E319" t="s">
        <v>22</v>
      </c>
      <c r="F319">
        <v>4</v>
      </c>
      <c r="G319">
        <v>2659.56</v>
      </c>
      <c r="H319">
        <v>10638.24</v>
      </c>
      <c r="I319">
        <f t="shared" si="16"/>
        <v>1</v>
      </c>
      <c r="J319" t="str">
        <f t="shared" si="17"/>
        <v>Jan</v>
      </c>
      <c r="K319">
        <f t="shared" si="18"/>
        <v>7</v>
      </c>
      <c r="L319" t="str">
        <f t="shared" si="19"/>
        <v>Sat</v>
      </c>
    </row>
    <row r="320" spans="1:12" x14ac:dyDescent="0.25">
      <c r="A320" s="1">
        <v>45977</v>
      </c>
      <c r="B320" t="s">
        <v>25</v>
      </c>
      <c r="C320" t="s">
        <v>21</v>
      </c>
      <c r="D320" t="s">
        <v>17</v>
      </c>
      <c r="E320" t="s">
        <v>18</v>
      </c>
      <c r="F320">
        <v>3</v>
      </c>
      <c r="G320">
        <v>4450.87</v>
      </c>
      <c r="H320">
        <v>13352.61</v>
      </c>
      <c r="I320">
        <f t="shared" si="16"/>
        <v>11</v>
      </c>
      <c r="J320" t="str">
        <f t="shared" si="17"/>
        <v>Nov</v>
      </c>
      <c r="K320">
        <f t="shared" si="18"/>
        <v>1</v>
      </c>
      <c r="L320" t="str">
        <f t="shared" si="19"/>
        <v>Sun</v>
      </c>
    </row>
    <row r="321" spans="1:12" x14ac:dyDescent="0.25">
      <c r="A321" s="1">
        <v>45682</v>
      </c>
      <c r="B321" t="s">
        <v>24</v>
      </c>
      <c r="C321" t="s">
        <v>21</v>
      </c>
      <c r="D321" t="s">
        <v>19</v>
      </c>
      <c r="E321" t="s">
        <v>15</v>
      </c>
      <c r="F321">
        <v>2</v>
      </c>
      <c r="G321">
        <v>1003.66</v>
      </c>
      <c r="H321">
        <v>2007.32</v>
      </c>
      <c r="I321">
        <f t="shared" si="16"/>
        <v>1</v>
      </c>
      <c r="J321" t="str">
        <f t="shared" si="17"/>
        <v>Jan</v>
      </c>
      <c r="K321">
        <f t="shared" si="18"/>
        <v>7</v>
      </c>
      <c r="L321" t="str">
        <f t="shared" si="19"/>
        <v>Sat</v>
      </c>
    </row>
    <row r="322" spans="1:12" x14ac:dyDescent="0.25">
      <c r="A322" s="1">
        <v>45735</v>
      </c>
      <c r="B322" t="s">
        <v>8</v>
      </c>
      <c r="C322" t="s">
        <v>9</v>
      </c>
      <c r="D322" t="s">
        <v>19</v>
      </c>
      <c r="E322" t="s">
        <v>27</v>
      </c>
      <c r="F322">
        <v>13</v>
      </c>
      <c r="G322">
        <v>1514.24</v>
      </c>
      <c r="H322">
        <v>19685.12</v>
      </c>
      <c r="I322">
        <f t="shared" ref="I322:I385" si="20">MONTH(A322)</f>
        <v>3</v>
      </c>
      <c r="J322" t="str">
        <f t="shared" ref="J322:J385" si="21">TEXT(A322,"MMM")</f>
        <v>Mar</v>
      </c>
      <c r="K322">
        <f t="shared" ref="K322:K385" si="22">WEEKDAY(A322,1)</f>
        <v>4</v>
      </c>
      <c r="L322" t="str">
        <f t="shared" ref="L322:L385" si="23">TEXT(K322,"DDD")</f>
        <v>Wed</v>
      </c>
    </row>
    <row r="323" spans="1:12" x14ac:dyDescent="0.25">
      <c r="A323" s="1">
        <v>45677</v>
      </c>
      <c r="B323" t="s">
        <v>16</v>
      </c>
      <c r="C323" t="s">
        <v>9</v>
      </c>
      <c r="D323" t="s">
        <v>19</v>
      </c>
      <c r="E323" t="s">
        <v>15</v>
      </c>
      <c r="F323">
        <v>11</v>
      </c>
      <c r="G323">
        <v>2679.38</v>
      </c>
      <c r="H323">
        <v>29473.18</v>
      </c>
      <c r="I323">
        <f t="shared" si="20"/>
        <v>1</v>
      </c>
      <c r="J323" t="str">
        <f t="shared" si="21"/>
        <v>Jan</v>
      </c>
      <c r="K323">
        <f t="shared" si="22"/>
        <v>2</v>
      </c>
      <c r="L323" t="str">
        <f t="shared" si="23"/>
        <v>Mon</v>
      </c>
    </row>
    <row r="324" spans="1:12" x14ac:dyDescent="0.25">
      <c r="A324" s="1">
        <v>45716</v>
      </c>
      <c r="B324" t="s">
        <v>20</v>
      </c>
      <c r="C324" t="s">
        <v>13</v>
      </c>
      <c r="D324" t="s">
        <v>10</v>
      </c>
      <c r="E324" t="s">
        <v>11</v>
      </c>
      <c r="F324">
        <v>5</v>
      </c>
      <c r="G324">
        <v>1752.69</v>
      </c>
      <c r="H324">
        <v>8763.4500000000007</v>
      </c>
      <c r="I324">
        <f t="shared" si="20"/>
        <v>2</v>
      </c>
      <c r="J324" t="str">
        <f t="shared" si="21"/>
        <v>Feb</v>
      </c>
      <c r="K324">
        <f t="shared" si="22"/>
        <v>6</v>
      </c>
      <c r="L324" t="str">
        <f t="shared" si="23"/>
        <v>Fri</v>
      </c>
    </row>
    <row r="325" spans="1:12" x14ac:dyDescent="0.25">
      <c r="A325" s="1">
        <v>45926</v>
      </c>
      <c r="B325" t="s">
        <v>40</v>
      </c>
      <c r="C325" t="s">
        <v>21</v>
      </c>
      <c r="D325" t="s">
        <v>14</v>
      </c>
      <c r="E325" t="s">
        <v>11</v>
      </c>
      <c r="F325">
        <v>18</v>
      </c>
      <c r="G325">
        <v>3673.34</v>
      </c>
      <c r="H325">
        <v>66120.12</v>
      </c>
      <c r="I325">
        <f t="shared" si="20"/>
        <v>9</v>
      </c>
      <c r="J325" t="str">
        <f t="shared" si="21"/>
        <v>Sep</v>
      </c>
      <c r="K325">
        <f t="shared" si="22"/>
        <v>6</v>
      </c>
      <c r="L325" t="str">
        <f t="shared" si="23"/>
        <v>Fri</v>
      </c>
    </row>
    <row r="326" spans="1:12" x14ac:dyDescent="0.25">
      <c r="A326" s="1">
        <v>45713</v>
      </c>
      <c r="B326" t="s">
        <v>40</v>
      </c>
      <c r="C326" t="s">
        <v>13</v>
      </c>
      <c r="D326" t="s">
        <v>10</v>
      </c>
      <c r="E326" t="s">
        <v>22</v>
      </c>
      <c r="F326">
        <v>3</v>
      </c>
      <c r="G326">
        <v>3723.89</v>
      </c>
      <c r="H326">
        <v>11171.67</v>
      </c>
      <c r="I326">
        <f t="shared" si="20"/>
        <v>2</v>
      </c>
      <c r="J326" t="str">
        <f t="shared" si="21"/>
        <v>Feb</v>
      </c>
      <c r="K326">
        <f t="shared" si="22"/>
        <v>3</v>
      </c>
      <c r="L326" t="str">
        <f t="shared" si="23"/>
        <v>Tue</v>
      </c>
    </row>
    <row r="327" spans="1:12" x14ac:dyDescent="0.25">
      <c r="A327" s="1">
        <v>45812</v>
      </c>
      <c r="B327" t="s">
        <v>23</v>
      </c>
      <c r="C327" t="s">
        <v>13</v>
      </c>
      <c r="D327" t="s">
        <v>19</v>
      </c>
      <c r="E327" t="s">
        <v>27</v>
      </c>
      <c r="F327">
        <v>1</v>
      </c>
      <c r="G327">
        <v>804.52</v>
      </c>
      <c r="H327">
        <v>804.52</v>
      </c>
      <c r="I327">
        <f t="shared" si="20"/>
        <v>6</v>
      </c>
      <c r="J327" t="str">
        <f t="shared" si="21"/>
        <v>Jun</v>
      </c>
      <c r="K327">
        <f t="shared" si="22"/>
        <v>4</v>
      </c>
      <c r="L327" t="str">
        <f t="shared" si="23"/>
        <v>Wed</v>
      </c>
    </row>
    <row r="328" spans="1:12" x14ac:dyDescent="0.25">
      <c r="A328" s="1">
        <v>45759</v>
      </c>
      <c r="B328" t="s">
        <v>41</v>
      </c>
      <c r="C328" t="s">
        <v>9</v>
      </c>
      <c r="D328" t="s">
        <v>17</v>
      </c>
      <c r="E328" t="s">
        <v>18</v>
      </c>
      <c r="F328">
        <v>4</v>
      </c>
      <c r="G328">
        <v>609.73</v>
      </c>
      <c r="H328">
        <v>2438.92</v>
      </c>
      <c r="I328">
        <f t="shared" si="20"/>
        <v>4</v>
      </c>
      <c r="J328" t="str">
        <f t="shared" si="21"/>
        <v>Apr</v>
      </c>
      <c r="K328">
        <f t="shared" si="22"/>
        <v>7</v>
      </c>
      <c r="L328" t="str">
        <f t="shared" si="23"/>
        <v>Sat</v>
      </c>
    </row>
    <row r="329" spans="1:12" x14ac:dyDescent="0.25">
      <c r="A329" s="1">
        <v>45887</v>
      </c>
      <c r="B329" t="s">
        <v>16</v>
      </c>
      <c r="C329" t="s">
        <v>13</v>
      </c>
      <c r="D329" t="s">
        <v>17</v>
      </c>
      <c r="E329" t="s">
        <v>18</v>
      </c>
      <c r="F329">
        <v>3</v>
      </c>
      <c r="G329">
        <v>2301.64</v>
      </c>
      <c r="H329">
        <v>6904.92</v>
      </c>
      <c r="I329">
        <f t="shared" si="20"/>
        <v>8</v>
      </c>
      <c r="J329" t="str">
        <f t="shared" si="21"/>
        <v>Aug</v>
      </c>
      <c r="K329">
        <f t="shared" si="22"/>
        <v>2</v>
      </c>
      <c r="L329" t="str">
        <f t="shared" si="23"/>
        <v>Mon</v>
      </c>
    </row>
    <row r="330" spans="1:12" x14ac:dyDescent="0.25">
      <c r="A330" s="1">
        <v>45748</v>
      </c>
      <c r="B330" t="s">
        <v>25</v>
      </c>
      <c r="C330" t="s">
        <v>21</v>
      </c>
      <c r="D330" t="s">
        <v>10</v>
      </c>
      <c r="E330" t="s">
        <v>22</v>
      </c>
      <c r="F330">
        <v>5</v>
      </c>
      <c r="G330">
        <v>2473.17</v>
      </c>
      <c r="H330">
        <v>12365.85</v>
      </c>
      <c r="I330">
        <f t="shared" si="20"/>
        <v>4</v>
      </c>
      <c r="J330" t="str">
        <f t="shared" si="21"/>
        <v>Apr</v>
      </c>
      <c r="K330">
        <f t="shared" si="22"/>
        <v>3</v>
      </c>
      <c r="L330" t="str">
        <f t="shared" si="23"/>
        <v>Tue</v>
      </c>
    </row>
    <row r="331" spans="1:12" x14ac:dyDescent="0.25">
      <c r="A331" s="1">
        <v>45718</v>
      </c>
      <c r="B331" t="s">
        <v>24</v>
      </c>
      <c r="C331" t="s">
        <v>21</v>
      </c>
      <c r="D331" t="s">
        <v>14</v>
      </c>
      <c r="E331" t="s">
        <v>15</v>
      </c>
      <c r="F331">
        <v>10</v>
      </c>
      <c r="G331">
        <v>1108.58</v>
      </c>
      <c r="H331">
        <v>11085.8</v>
      </c>
      <c r="I331">
        <f t="shared" si="20"/>
        <v>3</v>
      </c>
      <c r="J331" t="str">
        <f t="shared" si="21"/>
        <v>Mar</v>
      </c>
      <c r="K331">
        <f t="shared" si="22"/>
        <v>1</v>
      </c>
      <c r="L331" t="str">
        <f t="shared" si="23"/>
        <v>Sun</v>
      </c>
    </row>
    <row r="332" spans="1:12" x14ac:dyDescent="0.25">
      <c r="A332" s="1">
        <v>45721</v>
      </c>
      <c r="B332" t="s">
        <v>24</v>
      </c>
      <c r="C332" t="s">
        <v>21</v>
      </c>
      <c r="D332" t="s">
        <v>14</v>
      </c>
      <c r="E332" t="s">
        <v>15</v>
      </c>
      <c r="F332">
        <v>18</v>
      </c>
      <c r="G332">
        <v>738.77</v>
      </c>
      <c r="H332">
        <v>13297.86</v>
      </c>
      <c r="I332">
        <f t="shared" si="20"/>
        <v>3</v>
      </c>
      <c r="J332" t="str">
        <f t="shared" si="21"/>
        <v>Mar</v>
      </c>
      <c r="K332">
        <f t="shared" si="22"/>
        <v>4</v>
      </c>
      <c r="L332" t="str">
        <f t="shared" si="23"/>
        <v>Wed</v>
      </c>
    </row>
    <row r="333" spans="1:12" x14ac:dyDescent="0.25">
      <c r="A333" s="1">
        <v>45816</v>
      </c>
      <c r="B333" t="s">
        <v>8</v>
      </c>
      <c r="C333" t="s">
        <v>9</v>
      </c>
      <c r="D333" t="s">
        <v>10</v>
      </c>
      <c r="E333" t="s">
        <v>22</v>
      </c>
      <c r="F333">
        <v>11</v>
      </c>
      <c r="G333">
        <v>1167.1500000000001</v>
      </c>
      <c r="H333">
        <v>12838.65</v>
      </c>
      <c r="I333">
        <f t="shared" si="20"/>
        <v>6</v>
      </c>
      <c r="J333" t="str">
        <f t="shared" si="21"/>
        <v>Jun</v>
      </c>
      <c r="K333">
        <f t="shared" si="22"/>
        <v>1</v>
      </c>
      <c r="L333" t="str">
        <f t="shared" si="23"/>
        <v>Sun</v>
      </c>
    </row>
    <row r="334" spans="1:12" x14ac:dyDescent="0.25">
      <c r="A334" s="1">
        <v>45964</v>
      </c>
      <c r="B334" t="s">
        <v>20</v>
      </c>
      <c r="C334" t="s">
        <v>9</v>
      </c>
      <c r="D334" t="s">
        <v>14</v>
      </c>
      <c r="E334" t="s">
        <v>18</v>
      </c>
      <c r="F334">
        <v>2</v>
      </c>
      <c r="G334">
        <v>1342.21</v>
      </c>
      <c r="H334">
        <v>2684.42</v>
      </c>
      <c r="I334">
        <f t="shared" si="20"/>
        <v>11</v>
      </c>
      <c r="J334" t="str">
        <f t="shared" si="21"/>
        <v>Nov</v>
      </c>
      <c r="K334">
        <f t="shared" si="22"/>
        <v>2</v>
      </c>
      <c r="L334" t="str">
        <f t="shared" si="23"/>
        <v>Mon</v>
      </c>
    </row>
    <row r="335" spans="1:12" x14ac:dyDescent="0.25">
      <c r="A335" s="1">
        <v>45908</v>
      </c>
      <c r="B335" t="s">
        <v>16</v>
      </c>
      <c r="C335" t="s">
        <v>13</v>
      </c>
      <c r="D335" t="s">
        <v>17</v>
      </c>
      <c r="E335" t="s">
        <v>15</v>
      </c>
      <c r="F335">
        <v>6</v>
      </c>
      <c r="G335">
        <v>2338.59</v>
      </c>
      <c r="H335">
        <v>14031.54</v>
      </c>
      <c r="I335">
        <f t="shared" si="20"/>
        <v>9</v>
      </c>
      <c r="J335" t="str">
        <f t="shared" si="21"/>
        <v>Sep</v>
      </c>
      <c r="K335">
        <f t="shared" si="22"/>
        <v>2</v>
      </c>
      <c r="L335" t="str">
        <f t="shared" si="23"/>
        <v>Mon</v>
      </c>
    </row>
    <row r="336" spans="1:12" x14ac:dyDescent="0.25">
      <c r="A336" s="1">
        <v>45699</v>
      </c>
      <c r="B336" t="s">
        <v>39</v>
      </c>
      <c r="C336" t="s">
        <v>9</v>
      </c>
      <c r="D336" t="s">
        <v>19</v>
      </c>
      <c r="E336" t="s">
        <v>15</v>
      </c>
      <c r="F336">
        <v>9</v>
      </c>
      <c r="G336">
        <v>18985.48</v>
      </c>
      <c r="H336">
        <v>170869.32</v>
      </c>
      <c r="I336">
        <f t="shared" si="20"/>
        <v>2</v>
      </c>
      <c r="J336" t="str">
        <f t="shared" si="21"/>
        <v>Feb</v>
      </c>
      <c r="K336">
        <f t="shared" si="22"/>
        <v>3</v>
      </c>
      <c r="L336" t="str">
        <f t="shared" si="23"/>
        <v>Tue</v>
      </c>
    </row>
    <row r="337" spans="1:12" x14ac:dyDescent="0.25">
      <c r="A337" s="1">
        <v>45786</v>
      </c>
      <c r="B337" t="s">
        <v>39</v>
      </c>
      <c r="C337" t="s">
        <v>21</v>
      </c>
      <c r="D337" t="s">
        <v>14</v>
      </c>
      <c r="E337" t="s">
        <v>26</v>
      </c>
      <c r="F337">
        <v>8</v>
      </c>
      <c r="G337">
        <v>14653.3</v>
      </c>
      <c r="H337">
        <v>117226.4</v>
      </c>
      <c r="I337">
        <f t="shared" si="20"/>
        <v>5</v>
      </c>
      <c r="J337" t="str">
        <f t="shared" si="21"/>
        <v>May</v>
      </c>
      <c r="K337">
        <f t="shared" si="22"/>
        <v>6</v>
      </c>
      <c r="L337" t="str">
        <f t="shared" si="23"/>
        <v>Fri</v>
      </c>
    </row>
    <row r="338" spans="1:12" x14ac:dyDescent="0.25">
      <c r="A338" s="1">
        <v>45859</v>
      </c>
      <c r="B338" t="s">
        <v>20</v>
      </c>
      <c r="C338" t="s">
        <v>21</v>
      </c>
      <c r="D338" t="s">
        <v>19</v>
      </c>
      <c r="E338" t="s">
        <v>11</v>
      </c>
      <c r="F338">
        <v>8</v>
      </c>
      <c r="G338">
        <v>1254.27</v>
      </c>
      <c r="H338">
        <v>10034.16</v>
      </c>
      <c r="I338">
        <f t="shared" si="20"/>
        <v>7</v>
      </c>
      <c r="J338" t="str">
        <f t="shared" si="21"/>
        <v>Jul</v>
      </c>
      <c r="K338">
        <f t="shared" si="22"/>
        <v>2</v>
      </c>
      <c r="L338" t="str">
        <f t="shared" si="23"/>
        <v>Mon</v>
      </c>
    </row>
    <row r="339" spans="1:12" x14ac:dyDescent="0.25">
      <c r="A339" s="1">
        <v>45999</v>
      </c>
      <c r="B339" t="s">
        <v>41</v>
      </c>
      <c r="C339" t="s">
        <v>9</v>
      </c>
      <c r="D339" t="s">
        <v>10</v>
      </c>
      <c r="E339" t="s">
        <v>22</v>
      </c>
      <c r="F339">
        <v>12</v>
      </c>
      <c r="G339">
        <v>604.4</v>
      </c>
      <c r="H339">
        <v>7252.8</v>
      </c>
      <c r="I339">
        <f t="shared" si="20"/>
        <v>12</v>
      </c>
      <c r="J339" t="str">
        <f t="shared" si="21"/>
        <v>Dec</v>
      </c>
      <c r="K339">
        <f t="shared" si="22"/>
        <v>2</v>
      </c>
      <c r="L339" t="str">
        <f t="shared" si="23"/>
        <v>Mon</v>
      </c>
    </row>
    <row r="340" spans="1:12" x14ac:dyDescent="0.25">
      <c r="A340" s="1">
        <v>45757</v>
      </c>
      <c r="B340" t="s">
        <v>41</v>
      </c>
      <c r="C340" t="s">
        <v>9</v>
      </c>
      <c r="D340" t="s">
        <v>19</v>
      </c>
      <c r="E340" t="s">
        <v>15</v>
      </c>
      <c r="F340">
        <v>11</v>
      </c>
      <c r="G340">
        <v>657.25</v>
      </c>
      <c r="H340">
        <v>7229.75</v>
      </c>
      <c r="I340">
        <f t="shared" si="20"/>
        <v>4</v>
      </c>
      <c r="J340" t="str">
        <f t="shared" si="21"/>
        <v>Apr</v>
      </c>
      <c r="K340">
        <f t="shared" si="22"/>
        <v>5</v>
      </c>
      <c r="L340" t="str">
        <f t="shared" si="23"/>
        <v>Thu</v>
      </c>
    </row>
    <row r="341" spans="1:12" x14ac:dyDescent="0.25">
      <c r="A341" s="1">
        <v>45808</v>
      </c>
      <c r="B341" t="s">
        <v>39</v>
      </c>
      <c r="C341" t="s">
        <v>9</v>
      </c>
      <c r="D341" t="s">
        <v>19</v>
      </c>
      <c r="E341" t="s">
        <v>15</v>
      </c>
      <c r="F341">
        <v>8</v>
      </c>
      <c r="G341">
        <v>13679.26</v>
      </c>
      <c r="H341">
        <v>109434.08</v>
      </c>
      <c r="I341">
        <f t="shared" si="20"/>
        <v>5</v>
      </c>
      <c r="J341" t="str">
        <f t="shared" si="21"/>
        <v>May</v>
      </c>
      <c r="K341">
        <f t="shared" si="22"/>
        <v>7</v>
      </c>
      <c r="L341" t="str">
        <f t="shared" si="23"/>
        <v>Sat</v>
      </c>
    </row>
    <row r="342" spans="1:12" x14ac:dyDescent="0.25">
      <c r="A342" s="1">
        <v>45884</v>
      </c>
      <c r="B342" t="s">
        <v>8</v>
      </c>
      <c r="C342" t="s">
        <v>13</v>
      </c>
      <c r="D342" t="s">
        <v>10</v>
      </c>
      <c r="E342" t="s">
        <v>11</v>
      </c>
      <c r="F342">
        <v>19</v>
      </c>
      <c r="G342">
        <v>965.36</v>
      </c>
      <c r="H342">
        <v>18341.84</v>
      </c>
      <c r="I342">
        <f t="shared" si="20"/>
        <v>8</v>
      </c>
      <c r="J342" t="str">
        <f t="shared" si="21"/>
        <v>Aug</v>
      </c>
      <c r="K342">
        <f t="shared" si="22"/>
        <v>6</v>
      </c>
      <c r="L342" t="str">
        <f t="shared" si="23"/>
        <v>Fri</v>
      </c>
    </row>
    <row r="343" spans="1:12" x14ac:dyDescent="0.25">
      <c r="A343" s="1">
        <v>45917</v>
      </c>
      <c r="B343" t="s">
        <v>24</v>
      </c>
      <c r="C343" t="s">
        <v>21</v>
      </c>
      <c r="D343" t="s">
        <v>14</v>
      </c>
      <c r="E343" t="s">
        <v>26</v>
      </c>
      <c r="F343">
        <v>6</v>
      </c>
      <c r="G343">
        <v>749.57</v>
      </c>
      <c r="H343">
        <v>4497.42</v>
      </c>
      <c r="I343">
        <f t="shared" si="20"/>
        <v>9</v>
      </c>
      <c r="J343" t="str">
        <f t="shared" si="21"/>
        <v>Sep</v>
      </c>
      <c r="K343">
        <f t="shared" si="22"/>
        <v>4</v>
      </c>
      <c r="L343" t="str">
        <f t="shared" si="23"/>
        <v>Wed</v>
      </c>
    </row>
    <row r="344" spans="1:12" x14ac:dyDescent="0.25">
      <c r="A344" s="1">
        <v>45876</v>
      </c>
      <c r="B344" t="s">
        <v>39</v>
      </c>
      <c r="C344" t="s">
        <v>13</v>
      </c>
      <c r="D344" t="s">
        <v>19</v>
      </c>
      <c r="E344" t="s">
        <v>15</v>
      </c>
      <c r="F344">
        <v>9</v>
      </c>
      <c r="G344">
        <v>13937.46</v>
      </c>
      <c r="H344">
        <v>125437.14</v>
      </c>
      <c r="I344">
        <f t="shared" si="20"/>
        <v>8</v>
      </c>
      <c r="J344" t="str">
        <f t="shared" si="21"/>
        <v>Aug</v>
      </c>
      <c r="K344">
        <f t="shared" si="22"/>
        <v>5</v>
      </c>
      <c r="L344" t="str">
        <f t="shared" si="23"/>
        <v>Thu</v>
      </c>
    </row>
    <row r="345" spans="1:12" x14ac:dyDescent="0.25">
      <c r="A345" s="1">
        <v>45706</v>
      </c>
      <c r="B345" t="s">
        <v>8</v>
      </c>
      <c r="C345" t="s">
        <v>21</v>
      </c>
      <c r="D345" t="s">
        <v>19</v>
      </c>
      <c r="E345" t="s">
        <v>15</v>
      </c>
      <c r="F345">
        <v>9</v>
      </c>
      <c r="G345">
        <v>1531.08</v>
      </c>
      <c r="H345">
        <v>13779.72</v>
      </c>
      <c r="I345">
        <f t="shared" si="20"/>
        <v>2</v>
      </c>
      <c r="J345" t="str">
        <f t="shared" si="21"/>
        <v>Feb</v>
      </c>
      <c r="K345">
        <f t="shared" si="22"/>
        <v>3</v>
      </c>
      <c r="L345" t="str">
        <f t="shared" si="23"/>
        <v>Tue</v>
      </c>
    </row>
    <row r="346" spans="1:12" x14ac:dyDescent="0.25">
      <c r="A346" s="1">
        <v>45775</v>
      </c>
      <c r="B346" t="s">
        <v>16</v>
      </c>
      <c r="C346" t="s">
        <v>21</v>
      </c>
      <c r="D346" t="s">
        <v>17</v>
      </c>
      <c r="E346" t="s">
        <v>18</v>
      </c>
      <c r="F346">
        <v>12</v>
      </c>
      <c r="G346">
        <v>2461.5</v>
      </c>
      <c r="H346">
        <v>29538</v>
      </c>
      <c r="I346">
        <f t="shared" si="20"/>
        <v>4</v>
      </c>
      <c r="J346" t="str">
        <f t="shared" si="21"/>
        <v>Apr</v>
      </c>
      <c r="K346">
        <f t="shared" si="22"/>
        <v>2</v>
      </c>
      <c r="L346" t="str">
        <f t="shared" si="23"/>
        <v>Mon</v>
      </c>
    </row>
    <row r="347" spans="1:12" x14ac:dyDescent="0.25">
      <c r="A347" s="1">
        <v>45914</v>
      </c>
      <c r="B347" t="s">
        <v>25</v>
      </c>
      <c r="C347" t="s">
        <v>9</v>
      </c>
      <c r="D347" t="s">
        <v>17</v>
      </c>
      <c r="E347" t="s">
        <v>18</v>
      </c>
      <c r="F347">
        <v>2</v>
      </c>
      <c r="G347">
        <v>2719</v>
      </c>
      <c r="H347">
        <v>5438</v>
      </c>
      <c r="I347">
        <f t="shared" si="20"/>
        <v>9</v>
      </c>
      <c r="J347" t="str">
        <f t="shared" si="21"/>
        <v>Sep</v>
      </c>
      <c r="K347">
        <f t="shared" si="22"/>
        <v>1</v>
      </c>
      <c r="L347" t="str">
        <f t="shared" si="23"/>
        <v>Sun</v>
      </c>
    </row>
    <row r="348" spans="1:12" x14ac:dyDescent="0.25">
      <c r="A348" s="1">
        <v>45927</v>
      </c>
      <c r="B348" t="s">
        <v>39</v>
      </c>
      <c r="C348" t="s">
        <v>21</v>
      </c>
      <c r="D348" t="s">
        <v>10</v>
      </c>
      <c r="E348" t="s">
        <v>22</v>
      </c>
      <c r="F348">
        <v>8</v>
      </c>
      <c r="G348">
        <v>14388.69</v>
      </c>
      <c r="H348">
        <v>115109.52</v>
      </c>
      <c r="I348">
        <f t="shared" si="20"/>
        <v>9</v>
      </c>
      <c r="J348" t="str">
        <f t="shared" si="21"/>
        <v>Sep</v>
      </c>
      <c r="K348">
        <f t="shared" si="22"/>
        <v>7</v>
      </c>
      <c r="L348" t="str">
        <f t="shared" si="23"/>
        <v>Sat</v>
      </c>
    </row>
    <row r="349" spans="1:12" x14ac:dyDescent="0.25">
      <c r="A349" s="1">
        <v>45780</v>
      </c>
      <c r="B349" t="s">
        <v>12</v>
      </c>
      <c r="C349" t="s">
        <v>9</v>
      </c>
      <c r="D349" t="s">
        <v>14</v>
      </c>
      <c r="E349" t="s">
        <v>18</v>
      </c>
      <c r="F349">
        <v>12</v>
      </c>
      <c r="G349">
        <v>736.63</v>
      </c>
      <c r="H349">
        <v>8839.56</v>
      </c>
      <c r="I349">
        <f t="shared" si="20"/>
        <v>5</v>
      </c>
      <c r="J349" t="str">
        <f t="shared" si="21"/>
        <v>May</v>
      </c>
      <c r="K349">
        <f t="shared" si="22"/>
        <v>7</v>
      </c>
      <c r="L349" t="str">
        <f t="shared" si="23"/>
        <v>Sat</v>
      </c>
    </row>
    <row r="350" spans="1:12" x14ac:dyDescent="0.25">
      <c r="A350" s="1">
        <v>45830</v>
      </c>
      <c r="B350" t="s">
        <v>39</v>
      </c>
      <c r="C350" t="s">
        <v>9</v>
      </c>
      <c r="D350" t="s">
        <v>10</v>
      </c>
      <c r="E350" t="s">
        <v>26</v>
      </c>
      <c r="F350">
        <v>7</v>
      </c>
      <c r="G350">
        <v>18118.63</v>
      </c>
      <c r="H350">
        <v>126830.41</v>
      </c>
      <c r="I350">
        <f t="shared" si="20"/>
        <v>6</v>
      </c>
      <c r="J350" t="str">
        <f t="shared" si="21"/>
        <v>Jun</v>
      </c>
      <c r="K350">
        <f t="shared" si="22"/>
        <v>1</v>
      </c>
      <c r="L350" t="str">
        <f t="shared" si="23"/>
        <v>Sun</v>
      </c>
    </row>
    <row r="351" spans="1:12" x14ac:dyDescent="0.25">
      <c r="A351" s="1">
        <v>45889</v>
      </c>
      <c r="B351" t="s">
        <v>16</v>
      </c>
      <c r="C351" t="s">
        <v>9</v>
      </c>
      <c r="D351" t="s">
        <v>17</v>
      </c>
      <c r="E351" t="s">
        <v>15</v>
      </c>
      <c r="F351">
        <v>8</v>
      </c>
      <c r="G351">
        <v>2872.29</v>
      </c>
      <c r="H351">
        <v>22978.32</v>
      </c>
      <c r="I351">
        <f t="shared" si="20"/>
        <v>8</v>
      </c>
      <c r="J351" t="str">
        <f t="shared" si="21"/>
        <v>Aug</v>
      </c>
      <c r="K351">
        <f t="shared" si="22"/>
        <v>4</v>
      </c>
      <c r="L351" t="str">
        <f t="shared" si="23"/>
        <v>Wed</v>
      </c>
    </row>
    <row r="352" spans="1:12" x14ac:dyDescent="0.25">
      <c r="A352" s="1">
        <v>45894</v>
      </c>
      <c r="B352" t="s">
        <v>20</v>
      </c>
      <c r="C352" t="s">
        <v>13</v>
      </c>
      <c r="D352" t="s">
        <v>19</v>
      </c>
      <c r="E352" t="s">
        <v>11</v>
      </c>
      <c r="F352">
        <v>11</v>
      </c>
      <c r="G352">
        <v>1292.4000000000001</v>
      </c>
      <c r="H352">
        <v>14216.4</v>
      </c>
      <c r="I352">
        <f t="shared" si="20"/>
        <v>8</v>
      </c>
      <c r="J352" t="str">
        <f t="shared" si="21"/>
        <v>Aug</v>
      </c>
      <c r="K352">
        <f t="shared" si="22"/>
        <v>2</v>
      </c>
      <c r="L352" t="str">
        <f t="shared" si="23"/>
        <v>Mon</v>
      </c>
    </row>
    <row r="353" spans="1:12" x14ac:dyDescent="0.25">
      <c r="A353" s="1">
        <v>46004</v>
      </c>
      <c r="B353" t="s">
        <v>16</v>
      </c>
      <c r="C353" t="s">
        <v>21</v>
      </c>
      <c r="D353" t="s">
        <v>17</v>
      </c>
      <c r="E353" t="s">
        <v>15</v>
      </c>
      <c r="F353">
        <v>15</v>
      </c>
      <c r="G353">
        <v>1887.81</v>
      </c>
      <c r="H353">
        <v>28317.15</v>
      </c>
      <c r="I353">
        <f t="shared" si="20"/>
        <v>12</v>
      </c>
      <c r="J353" t="str">
        <f t="shared" si="21"/>
        <v>Dec</v>
      </c>
      <c r="K353">
        <f t="shared" si="22"/>
        <v>7</v>
      </c>
      <c r="L353" t="str">
        <f t="shared" si="23"/>
        <v>Sat</v>
      </c>
    </row>
    <row r="354" spans="1:12" x14ac:dyDescent="0.25">
      <c r="A354" s="1">
        <v>45707</v>
      </c>
      <c r="B354" t="s">
        <v>23</v>
      </c>
      <c r="C354" t="s">
        <v>13</v>
      </c>
      <c r="D354" t="s">
        <v>19</v>
      </c>
      <c r="E354" t="s">
        <v>27</v>
      </c>
      <c r="F354">
        <v>13</v>
      </c>
      <c r="G354">
        <v>758.44</v>
      </c>
      <c r="H354">
        <v>9859.7199999999993</v>
      </c>
      <c r="I354">
        <f t="shared" si="20"/>
        <v>2</v>
      </c>
      <c r="J354" t="str">
        <f t="shared" si="21"/>
        <v>Feb</v>
      </c>
      <c r="K354">
        <f t="shared" si="22"/>
        <v>4</v>
      </c>
      <c r="L354" t="str">
        <f t="shared" si="23"/>
        <v>Wed</v>
      </c>
    </row>
    <row r="355" spans="1:12" x14ac:dyDescent="0.25">
      <c r="A355" s="1">
        <v>45845</v>
      </c>
      <c r="B355" t="s">
        <v>39</v>
      </c>
      <c r="C355" t="s">
        <v>13</v>
      </c>
      <c r="D355" t="s">
        <v>10</v>
      </c>
      <c r="E355" t="s">
        <v>11</v>
      </c>
      <c r="F355">
        <v>7</v>
      </c>
      <c r="G355">
        <v>15694.56</v>
      </c>
      <c r="H355">
        <v>109861.92</v>
      </c>
      <c r="I355">
        <f t="shared" si="20"/>
        <v>7</v>
      </c>
      <c r="J355" t="str">
        <f t="shared" si="21"/>
        <v>Jul</v>
      </c>
      <c r="K355">
        <f t="shared" si="22"/>
        <v>2</v>
      </c>
      <c r="L355" t="str">
        <f t="shared" si="23"/>
        <v>Mon</v>
      </c>
    </row>
    <row r="356" spans="1:12" x14ac:dyDescent="0.25">
      <c r="A356" s="1">
        <v>45937</v>
      </c>
      <c r="B356" t="s">
        <v>24</v>
      </c>
      <c r="C356" t="s">
        <v>13</v>
      </c>
      <c r="D356" t="s">
        <v>19</v>
      </c>
      <c r="E356" t="s">
        <v>26</v>
      </c>
      <c r="F356">
        <v>16</v>
      </c>
      <c r="G356">
        <v>1187.05</v>
      </c>
      <c r="H356">
        <v>18992.8</v>
      </c>
      <c r="I356">
        <f t="shared" si="20"/>
        <v>10</v>
      </c>
      <c r="J356" t="str">
        <f t="shared" si="21"/>
        <v>Oct</v>
      </c>
      <c r="K356">
        <f t="shared" si="22"/>
        <v>3</v>
      </c>
      <c r="L356" t="str">
        <f t="shared" si="23"/>
        <v>Tue</v>
      </c>
    </row>
    <row r="357" spans="1:12" x14ac:dyDescent="0.25">
      <c r="A357" s="1">
        <v>46020</v>
      </c>
      <c r="B357" t="s">
        <v>24</v>
      </c>
      <c r="C357" t="s">
        <v>13</v>
      </c>
      <c r="D357" t="s">
        <v>17</v>
      </c>
      <c r="E357" t="s">
        <v>18</v>
      </c>
      <c r="F357">
        <v>8</v>
      </c>
      <c r="G357">
        <v>816.37</v>
      </c>
      <c r="H357">
        <v>6530.96</v>
      </c>
      <c r="I357">
        <f t="shared" si="20"/>
        <v>12</v>
      </c>
      <c r="J357" t="str">
        <f t="shared" si="21"/>
        <v>Dec</v>
      </c>
      <c r="K357">
        <f t="shared" si="22"/>
        <v>2</v>
      </c>
      <c r="L357" t="str">
        <f t="shared" si="23"/>
        <v>Mon</v>
      </c>
    </row>
    <row r="358" spans="1:12" x14ac:dyDescent="0.25">
      <c r="A358" s="1">
        <v>45976</v>
      </c>
      <c r="B358" t="s">
        <v>12</v>
      </c>
      <c r="C358" t="s">
        <v>21</v>
      </c>
      <c r="D358" t="s">
        <v>10</v>
      </c>
      <c r="E358" t="s">
        <v>22</v>
      </c>
      <c r="F358">
        <v>10</v>
      </c>
      <c r="G358">
        <v>1030.8699999999999</v>
      </c>
      <c r="H358">
        <v>10308.700000000001</v>
      </c>
      <c r="I358">
        <f t="shared" si="20"/>
        <v>11</v>
      </c>
      <c r="J358" t="str">
        <f t="shared" si="21"/>
        <v>Nov</v>
      </c>
      <c r="K358">
        <f t="shared" si="22"/>
        <v>7</v>
      </c>
      <c r="L358" t="str">
        <f t="shared" si="23"/>
        <v>Sat</v>
      </c>
    </row>
    <row r="359" spans="1:12" x14ac:dyDescent="0.25">
      <c r="A359" s="1">
        <v>45958</v>
      </c>
      <c r="B359" t="s">
        <v>20</v>
      </c>
      <c r="C359" t="s">
        <v>13</v>
      </c>
      <c r="D359" t="s">
        <v>10</v>
      </c>
      <c r="E359" t="s">
        <v>26</v>
      </c>
      <c r="F359">
        <v>9</v>
      </c>
      <c r="G359">
        <v>1387.73</v>
      </c>
      <c r="H359">
        <v>12489.57</v>
      </c>
      <c r="I359">
        <f t="shared" si="20"/>
        <v>10</v>
      </c>
      <c r="J359" t="str">
        <f t="shared" si="21"/>
        <v>Oct</v>
      </c>
      <c r="K359">
        <f t="shared" si="22"/>
        <v>3</v>
      </c>
      <c r="L359" t="str">
        <f t="shared" si="23"/>
        <v>Tue</v>
      </c>
    </row>
    <row r="360" spans="1:12" x14ac:dyDescent="0.25">
      <c r="A360" s="1">
        <v>45742</v>
      </c>
      <c r="B360" t="s">
        <v>12</v>
      </c>
      <c r="C360" t="s">
        <v>21</v>
      </c>
      <c r="D360" t="s">
        <v>14</v>
      </c>
      <c r="E360" t="s">
        <v>18</v>
      </c>
      <c r="F360">
        <v>17</v>
      </c>
      <c r="G360">
        <v>635.96</v>
      </c>
      <c r="H360">
        <v>10811.32</v>
      </c>
      <c r="I360">
        <f t="shared" si="20"/>
        <v>3</v>
      </c>
      <c r="J360" t="str">
        <f t="shared" si="21"/>
        <v>Mar</v>
      </c>
      <c r="K360">
        <f t="shared" si="22"/>
        <v>4</v>
      </c>
      <c r="L360" t="str">
        <f t="shared" si="23"/>
        <v>Wed</v>
      </c>
    </row>
    <row r="361" spans="1:12" x14ac:dyDescent="0.25">
      <c r="A361" s="1">
        <v>45777</v>
      </c>
      <c r="B361" t="s">
        <v>16</v>
      </c>
      <c r="C361" t="s">
        <v>9</v>
      </c>
      <c r="D361" t="s">
        <v>17</v>
      </c>
      <c r="E361" t="s">
        <v>18</v>
      </c>
      <c r="F361">
        <v>11</v>
      </c>
      <c r="G361">
        <v>2884.4</v>
      </c>
      <c r="H361">
        <v>31728.400000000001</v>
      </c>
      <c r="I361">
        <f t="shared" si="20"/>
        <v>4</v>
      </c>
      <c r="J361" t="str">
        <f t="shared" si="21"/>
        <v>Apr</v>
      </c>
      <c r="K361">
        <f t="shared" si="22"/>
        <v>4</v>
      </c>
      <c r="L361" t="str">
        <f t="shared" si="23"/>
        <v>Wed</v>
      </c>
    </row>
    <row r="362" spans="1:12" x14ac:dyDescent="0.25">
      <c r="A362" s="1">
        <v>45879</v>
      </c>
      <c r="B362" t="s">
        <v>20</v>
      </c>
      <c r="C362" t="s">
        <v>21</v>
      </c>
      <c r="D362" t="s">
        <v>19</v>
      </c>
      <c r="E362" t="s">
        <v>11</v>
      </c>
      <c r="F362">
        <v>5</v>
      </c>
      <c r="G362">
        <v>1162.24</v>
      </c>
      <c r="H362">
        <v>5811.2</v>
      </c>
      <c r="I362">
        <f t="shared" si="20"/>
        <v>8</v>
      </c>
      <c r="J362" t="str">
        <f t="shared" si="21"/>
        <v>Aug</v>
      </c>
      <c r="K362">
        <f t="shared" si="22"/>
        <v>1</v>
      </c>
      <c r="L362" t="str">
        <f t="shared" si="23"/>
        <v>Sun</v>
      </c>
    </row>
    <row r="363" spans="1:12" x14ac:dyDescent="0.25">
      <c r="A363" s="1">
        <v>45767</v>
      </c>
      <c r="B363" t="s">
        <v>8</v>
      </c>
      <c r="C363" t="s">
        <v>21</v>
      </c>
      <c r="D363" t="s">
        <v>19</v>
      </c>
      <c r="E363" t="s">
        <v>11</v>
      </c>
      <c r="F363">
        <v>5</v>
      </c>
      <c r="G363">
        <v>1317.39</v>
      </c>
      <c r="H363">
        <v>6586.95</v>
      </c>
      <c r="I363">
        <f t="shared" si="20"/>
        <v>4</v>
      </c>
      <c r="J363" t="str">
        <f t="shared" si="21"/>
        <v>Apr</v>
      </c>
      <c r="K363">
        <f t="shared" si="22"/>
        <v>1</v>
      </c>
      <c r="L363" t="str">
        <f t="shared" si="23"/>
        <v>Sun</v>
      </c>
    </row>
    <row r="364" spans="1:12" x14ac:dyDescent="0.25">
      <c r="A364" s="1">
        <v>45966</v>
      </c>
      <c r="B364" t="s">
        <v>41</v>
      </c>
      <c r="C364" t="s">
        <v>13</v>
      </c>
      <c r="D364" t="s">
        <v>17</v>
      </c>
      <c r="E364" t="s">
        <v>26</v>
      </c>
      <c r="F364">
        <v>6</v>
      </c>
      <c r="G364">
        <v>480.08</v>
      </c>
      <c r="H364">
        <v>2880.48</v>
      </c>
      <c r="I364">
        <f t="shared" si="20"/>
        <v>11</v>
      </c>
      <c r="J364" t="str">
        <f t="shared" si="21"/>
        <v>Nov</v>
      </c>
      <c r="K364">
        <f t="shared" si="22"/>
        <v>4</v>
      </c>
      <c r="L364" t="str">
        <f t="shared" si="23"/>
        <v>Wed</v>
      </c>
    </row>
    <row r="365" spans="1:12" x14ac:dyDescent="0.25">
      <c r="A365" s="1">
        <v>45844</v>
      </c>
      <c r="B365" t="s">
        <v>40</v>
      </c>
      <c r="C365" t="s">
        <v>9</v>
      </c>
      <c r="D365" t="s">
        <v>19</v>
      </c>
      <c r="E365" t="s">
        <v>15</v>
      </c>
      <c r="F365">
        <v>7</v>
      </c>
      <c r="G365">
        <v>4942.92</v>
      </c>
      <c r="H365">
        <v>34600.44</v>
      </c>
      <c r="I365">
        <f t="shared" si="20"/>
        <v>7</v>
      </c>
      <c r="J365" t="str">
        <f t="shared" si="21"/>
        <v>Jul</v>
      </c>
      <c r="K365">
        <f t="shared" si="22"/>
        <v>1</v>
      </c>
      <c r="L365" t="str">
        <f t="shared" si="23"/>
        <v>Sun</v>
      </c>
    </row>
    <row r="366" spans="1:12" x14ac:dyDescent="0.25">
      <c r="A366" s="1">
        <v>45671</v>
      </c>
      <c r="B366" t="s">
        <v>23</v>
      </c>
      <c r="C366" t="s">
        <v>9</v>
      </c>
      <c r="D366" t="s">
        <v>19</v>
      </c>
      <c r="E366" t="s">
        <v>26</v>
      </c>
      <c r="F366">
        <v>4</v>
      </c>
      <c r="G366">
        <v>585.35</v>
      </c>
      <c r="H366">
        <v>2341.4</v>
      </c>
      <c r="I366">
        <f t="shared" si="20"/>
        <v>1</v>
      </c>
      <c r="J366" t="str">
        <f t="shared" si="21"/>
        <v>Jan</v>
      </c>
      <c r="K366">
        <f t="shared" si="22"/>
        <v>3</v>
      </c>
      <c r="L366" t="str">
        <f t="shared" si="23"/>
        <v>Tue</v>
      </c>
    </row>
    <row r="367" spans="1:12" x14ac:dyDescent="0.25">
      <c r="A367" s="1">
        <v>45681</v>
      </c>
      <c r="B367" t="s">
        <v>16</v>
      </c>
      <c r="C367" t="s">
        <v>21</v>
      </c>
      <c r="D367" t="s">
        <v>14</v>
      </c>
      <c r="E367" t="s">
        <v>11</v>
      </c>
      <c r="F367">
        <v>19</v>
      </c>
      <c r="G367">
        <v>2497.38</v>
      </c>
      <c r="H367">
        <v>47450.22</v>
      </c>
      <c r="I367">
        <f t="shared" si="20"/>
        <v>1</v>
      </c>
      <c r="J367" t="str">
        <f t="shared" si="21"/>
        <v>Jan</v>
      </c>
      <c r="K367">
        <f t="shared" si="22"/>
        <v>6</v>
      </c>
      <c r="L367" t="str">
        <f t="shared" si="23"/>
        <v>Fri</v>
      </c>
    </row>
    <row r="368" spans="1:12" x14ac:dyDescent="0.25">
      <c r="A368" s="1">
        <v>45867</v>
      </c>
      <c r="B368" t="s">
        <v>25</v>
      </c>
      <c r="C368" t="s">
        <v>9</v>
      </c>
      <c r="D368" t="s">
        <v>19</v>
      </c>
      <c r="E368" t="s">
        <v>26</v>
      </c>
      <c r="F368">
        <v>6</v>
      </c>
      <c r="G368">
        <v>2890.67</v>
      </c>
      <c r="H368">
        <v>17344.02</v>
      </c>
      <c r="I368">
        <f t="shared" si="20"/>
        <v>7</v>
      </c>
      <c r="J368" t="str">
        <f t="shared" si="21"/>
        <v>Jul</v>
      </c>
      <c r="K368">
        <f t="shared" si="22"/>
        <v>3</v>
      </c>
      <c r="L368" t="str">
        <f t="shared" si="23"/>
        <v>Tue</v>
      </c>
    </row>
    <row r="369" spans="1:12" x14ac:dyDescent="0.25">
      <c r="A369" s="1">
        <v>46012</v>
      </c>
      <c r="B369" t="s">
        <v>23</v>
      </c>
      <c r="C369" t="s">
        <v>9</v>
      </c>
      <c r="D369" t="s">
        <v>19</v>
      </c>
      <c r="E369" t="s">
        <v>15</v>
      </c>
      <c r="F369">
        <v>1</v>
      </c>
      <c r="G369">
        <v>602.53</v>
      </c>
      <c r="H369">
        <v>602.53</v>
      </c>
      <c r="I369">
        <f t="shared" si="20"/>
        <v>12</v>
      </c>
      <c r="J369" t="str">
        <f t="shared" si="21"/>
        <v>Dec</v>
      </c>
      <c r="K369">
        <f t="shared" si="22"/>
        <v>1</v>
      </c>
      <c r="L369" t="str">
        <f t="shared" si="23"/>
        <v>Sun</v>
      </c>
    </row>
    <row r="370" spans="1:12" x14ac:dyDescent="0.25">
      <c r="A370" s="1">
        <v>45772</v>
      </c>
      <c r="B370" t="s">
        <v>39</v>
      </c>
      <c r="C370" t="s">
        <v>13</v>
      </c>
      <c r="D370" t="s">
        <v>19</v>
      </c>
      <c r="E370" t="s">
        <v>11</v>
      </c>
      <c r="F370">
        <v>15</v>
      </c>
      <c r="G370">
        <v>19485.13</v>
      </c>
      <c r="H370">
        <v>292276.95</v>
      </c>
      <c r="I370">
        <f t="shared" si="20"/>
        <v>4</v>
      </c>
      <c r="J370" t="str">
        <f t="shared" si="21"/>
        <v>Apr</v>
      </c>
      <c r="K370">
        <f t="shared" si="22"/>
        <v>6</v>
      </c>
      <c r="L370" t="str">
        <f t="shared" si="23"/>
        <v>Fri</v>
      </c>
    </row>
    <row r="371" spans="1:12" x14ac:dyDescent="0.25">
      <c r="A371" s="1">
        <v>45774</v>
      </c>
      <c r="B371" t="s">
        <v>39</v>
      </c>
      <c r="C371" t="s">
        <v>9</v>
      </c>
      <c r="D371" t="s">
        <v>14</v>
      </c>
      <c r="E371" t="s">
        <v>18</v>
      </c>
      <c r="F371">
        <v>16</v>
      </c>
      <c r="G371">
        <v>12104.27</v>
      </c>
      <c r="H371">
        <v>193668.32</v>
      </c>
      <c r="I371">
        <f t="shared" si="20"/>
        <v>4</v>
      </c>
      <c r="J371" t="str">
        <f t="shared" si="21"/>
        <v>Apr</v>
      </c>
      <c r="K371">
        <f t="shared" si="22"/>
        <v>1</v>
      </c>
      <c r="L371" t="str">
        <f t="shared" si="23"/>
        <v>Sun</v>
      </c>
    </row>
    <row r="372" spans="1:12" x14ac:dyDescent="0.25">
      <c r="A372" s="1">
        <v>45854</v>
      </c>
      <c r="B372" t="s">
        <v>20</v>
      </c>
      <c r="C372" t="s">
        <v>9</v>
      </c>
      <c r="D372" t="s">
        <v>14</v>
      </c>
      <c r="E372" t="s">
        <v>15</v>
      </c>
      <c r="F372">
        <v>10</v>
      </c>
      <c r="G372">
        <v>1351.06</v>
      </c>
      <c r="H372">
        <v>13510.6</v>
      </c>
      <c r="I372">
        <f t="shared" si="20"/>
        <v>7</v>
      </c>
      <c r="J372" t="str">
        <f t="shared" si="21"/>
        <v>Jul</v>
      </c>
      <c r="K372">
        <f t="shared" si="22"/>
        <v>4</v>
      </c>
      <c r="L372" t="str">
        <f t="shared" si="23"/>
        <v>Wed</v>
      </c>
    </row>
    <row r="373" spans="1:12" x14ac:dyDescent="0.25">
      <c r="A373" s="1">
        <v>45763</v>
      </c>
      <c r="B373" t="s">
        <v>39</v>
      </c>
      <c r="C373" t="s">
        <v>21</v>
      </c>
      <c r="D373" t="s">
        <v>14</v>
      </c>
      <c r="E373" t="s">
        <v>15</v>
      </c>
      <c r="F373">
        <v>6</v>
      </c>
      <c r="G373">
        <v>15162.71</v>
      </c>
      <c r="H373">
        <v>90976.26</v>
      </c>
      <c r="I373">
        <f t="shared" si="20"/>
        <v>4</v>
      </c>
      <c r="J373" t="str">
        <f t="shared" si="21"/>
        <v>Apr</v>
      </c>
      <c r="K373">
        <f t="shared" si="22"/>
        <v>4</v>
      </c>
      <c r="L373" t="str">
        <f t="shared" si="23"/>
        <v>Wed</v>
      </c>
    </row>
    <row r="374" spans="1:12" x14ac:dyDescent="0.25">
      <c r="A374" s="1">
        <v>46021</v>
      </c>
      <c r="B374" t="s">
        <v>23</v>
      </c>
      <c r="C374" t="s">
        <v>9</v>
      </c>
      <c r="D374" t="s">
        <v>10</v>
      </c>
      <c r="E374" t="s">
        <v>26</v>
      </c>
      <c r="F374">
        <v>3</v>
      </c>
      <c r="G374">
        <v>766.24</v>
      </c>
      <c r="H374">
        <v>2298.7199999999998</v>
      </c>
      <c r="I374">
        <f t="shared" si="20"/>
        <v>12</v>
      </c>
      <c r="J374" t="str">
        <f t="shared" si="21"/>
        <v>Dec</v>
      </c>
      <c r="K374">
        <f t="shared" si="22"/>
        <v>3</v>
      </c>
      <c r="L374" t="str">
        <f t="shared" si="23"/>
        <v>Tue</v>
      </c>
    </row>
    <row r="375" spans="1:12" x14ac:dyDescent="0.25">
      <c r="A375" s="1">
        <v>45725</v>
      </c>
      <c r="B375" t="s">
        <v>24</v>
      </c>
      <c r="C375" t="s">
        <v>9</v>
      </c>
      <c r="D375" t="s">
        <v>17</v>
      </c>
      <c r="E375" t="s">
        <v>26</v>
      </c>
      <c r="F375">
        <v>5</v>
      </c>
      <c r="G375">
        <v>1123.6099999999999</v>
      </c>
      <c r="H375">
        <v>5618.05</v>
      </c>
      <c r="I375">
        <f t="shared" si="20"/>
        <v>3</v>
      </c>
      <c r="J375" t="str">
        <f t="shared" si="21"/>
        <v>Mar</v>
      </c>
      <c r="K375">
        <f t="shared" si="22"/>
        <v>1</v>
      </c>
      <c r="L375" t="str">
        <f t="shared" si="23"/>
        <v>Sun</v>
      </c>
    </row>
    <row r="376" spans="1:12" x14ac:dyDescent="0.25">
      <c r="A376" s="1">
        <v>45746</v>
      </c>
      <c r="B376" t="s">
        <v>8</v>
      </c>
      <c r="C376" t="s">
        <v>21</v>
      </c>
      <c r="D376" t="s">
        <v>10</v>
      </c>
      <c r="E376" t="s">
        <v>26</v>
      </c>
      <c r="F376">
        <v>3</v>
      </c>
      <c r="G376">
        <v>1154.53</v>
      </c>
      <c r="H376">
        <v>3463.59</v>
      </c>
      <c r="I376">
        <f t="shared" si="20"/>
        <v>3</v>
      </c>
      <c r="J376" t="str">
        <f t="shared" si="21"/>
        <v>Mar</v>
      </c>
      <c r="K376">
        <f t="shared" si="22"/>
        <v>1</v>
      </c>
      <c r="L376" t="str">
        <f t="shared" si="23"/>
        <v>Sun</v>
      </c>
    </row>
    <row r="377" spans="1:12" x14ac:dyDescent="0.25">
      <c r="A377" s="1">
        <v>45969</v>
      </c>
      <c r="B377" t="s">
        <v>8</v>
      </c>
      <c r="C377" t="s">
        <v>21</v>
      </c>
      <c r="D377" t="s">
        <v>17</v>
      </c>
      <c r="E377" t="s">
        <v>18</v>
      </c>
      <c r="F377">
        <v>12</v>
      </c>
      <c r="G377">
        <v>937.45</v>
      </c>
      <c r="H377">
        <v>11249.4</v>
      </c>
      <c r="I377">
        <f t="shared" si="20"/>
        <v>11</v>
      </c>
      <c r="J377" t="str">
        <f t="shared" si="21"/>
        <v>Nov</v>
      </c>
      <c r="K377">
        <f t="shared" si="22"/>
        <v>7</v>
      </c>
      <c r="L377" t="str">
        <f t="shared" si="23"/>
        <v>Sat</v>
      </c>
    </row>
    <row r="378" spans="1:12" x14ac:dyDescent="0.25">
      <c r="A378" s="1">
        <v>45688</v>
      </c>
      <c r="B378" t="s">
        <v>8</v>
      </c>
      <c r="C378" t="s">
        <v>9</v>
      </c>
      <c r="D378" t="s">
        <v>19</v>
      </c>
      <c r="E378" t="s">
        <v>15</v>
      </c>
      <c r="F378">
        <v>12</v>
      </c>
      <c r="G378">
        <v>872.11</v>
      </c>
      <c r="H378">
        <v>10465.32</v>
      </c>
      <c r="I378">
        <f t="shared" si="20"/>
        <v>1</v>
      </c>
      <c r="J378" t="str">
        <f t="shared" si="21"/>
        <v>Jan</v>
      </c>
      <c r="K378">
        <f t="shared" si="22"/>
        <v>6</v>
      </c>
      <c r="L378" t="str">
        <f t="shared" si="23"/>
        <v>Fri</v>
      </c>
    </row>
    <row r="379" spans="1:12" x14ac:dyDescent="0.25">
      <c r="A379" s="1">
        <v>45998</v>
      </c>
      <c r="B379" t="s">
        <v>20</v>
      </c>
      <c r="C379" t="s">
        <v>13</v>
      </c>
      <c r="D379" t="s">
        <v>10</v>
      </c>
      <c r="E379" t="s">
        <v>18</v>
      </c>
      <c r="F379">
        <v>14</v>
      </c>
      <c r="G379">
        <v>1274.5899999999999</v>
      </c>
      <c r="H379">
        <v>17844.259999999998</v>
      </c>
      <c r="I379">
        <f t="shared" si="20"/>
        <v>12</v>
      </c>
      <c r="J379" t="str">
        <f t="shared" si="21"/>
        <v>Dec</v>
      </c>
      <c r="K379">
        <f t="shared" si="22"/>
        <v>1</v>
      </c>
      <c r="L379" t="str">
        <f t="shared" si="23"/>
        <v>Sun</v>
      </c>
    </row>
    <row r="380" spans="1:12" x14ac:dyDescent="0.25">
      <c r="A380" s="1">
        <v>45992</v>
      </c>
      <c r="B380" t="s">
        <v>25</v>
      </c>
      <c r="C380" t="s">
        <v>13</v>
      </c>
      <c r="D380" t="s">
        <v>14</v>
      </c>
      <c r="E380" t="s">
        <v>18</v>
      </c>
      <c r="F380">
        <v>13</v>
      </c>
      <c r="G380">
        <v>3013.09</v>
      </c>
      <c r="H380">
        <v>39170.17</v>
      </c>
      <c r="I380">
        <f t="shared" si="20"/>
        <v>12</v>
      </c>
      <c r="J380" t="str">
        <f t="shared" si="21"/>
        <v>Dec</v>
      </c>
      <c r="K380">
        <f t="shared" si="22"/>
        <v>2</v>
      </c>
      <c r="L380" t="str">
        <f t="shared" si="23"/>
        <v>Mon</v>
      </c>
    </row>
    <row r="381" spans="1:12" x14ac:dyDescent="0.25">
      <c r="A381" s="1">
        <v>45985</v>
      </c>
      <c r="B381" t="s">
        <v>8</v>
      </c>
      <c r="C381" t="s">
        <v>13</v>
      </c>
      <c r="D381" t="s">
        <v>19</v>
      </c>
      <c r="E381" t="s">
        <v>26</v>
      </c>
      <c r="F381">
        <v>11</v>
      </c>
      <c r="G381">
        <v>940.26</v>
      </c>
      <c r="H381">
        <v>10342.86</v>
      </c>
      <c r="I381">
        <f t="shared" si="20"/>
        <v>11</v>
      </c>
      <c r="J381" t="str">
        <f t="shared" si="21"/>
        <v>Nov</v>
      </c>
      <c r="K381">
        <f t="shared" si="22"/>
        <v>2</v>
      </c>
      <c r="L381" t="str">
        <f t="shared" si="23"/>
        <v>Mon</v>
      </c>
    </row>
    <row r="382" spans="1:12" x14ac:dyDescent="0.25">
      <c r="A382" s="1">
        <v>45852</v>
      </c>
      <c r="B382" t="s">
        <v>16</v>
      </c>
      <c r="C382" t="s">
        <v>9</v>
      </c>
      <c r="D382" t="s">
        <v>10</v>
      </c>
      <c r="E382" t="s">
        <v>26</v>
      </c>
      <c r="F382">
        <v>11</v>
      </c>
      <c r="G382">
        <v>3195.09</v>
      </c>
      <c r="H382">
        <v>35145.99</v>
      </c>
      <c r="I382">
        <f t="shared" si="20"/>
        <v>7</v>
      </c>
      <c r="J382" t="str">
        <f t="shared" si="21"/>
        <v>Jul</v>
      </c>
      <c r="K382">
        <f t="shared" si="22"/>
        <v>2</v>
      </c>
      <c r="L382" t="str">
        <f t="shared" si="23"/>
        <v>Mon</v>
      </c>
    </row>
    <row r="383" spans="1:12" x14ac:dyDescent="0.25">
      <c r="A383" s="1">
        <v>45799</v>
      </c>
      <c r="B383" t="s">
        <v>20</v>
      </c>
      <c r="C383" t="s">
        <v>9</v>
      </c>
      <c r="D383" t="s">
        <v>14</v>
      </c>
      <c r="E383" t="s">
        <v>26</v>
      </c>
      <c r="F383">
        <v>12</v>
      </c>
      <c r="G383">
        <v>1758.94</v>
      </c>
      <c r="H383">
        <v>21107.279999999999</v>
      </c>
      <c r="I383">
        <f t="shared" si="20"/>
        <v>5</v>
      </c>
      <c r="J383" t="str">
        <f t="shared" si="21"/>
        <v>May</v>
      </c>
      <c r="K383">
        <f t="shared" si="22"/>
        <v>5</v>
      </c>
      <c r="L383" t="str">
        <f t="shared" si="23"/>
        <v>Thu</v>
      </c>
    </row>
    <row r="384" spans="1:12" x14ac:dyDescent="0.25">
      <c r="A384" s="1">
        <v>45798</v>
      </c>
      <c r="B384" t="s">
        <v>40</v>
      </c>
      <c r="C384" t="s">
        <v>9</v>
      </c>
      <c r="D384" t="s">
        <v>14</v>
      </c>
      <c r="E384" t="s">
        <v>15</v>
      </c>
      <c r="F384">
        <v>18</v>
      </c>
      <c r="G384">
        <v>3934.9</v>
      </c>
      <c r="H384">
        <v>70828.2</v>
      </c>
      <c r="I384">
        <f t="shared" si="20"/>
        <v>5</v>
      </c>
      <c r="J384" t="str">
        <f t="shared" si="21"/>
        <v>May</v>
      </c>
      <c r="K384">
        <f t="shared" si="22"/>
        <v>4</v>
      </c>
      <c r="L384" t="str">
        <f t="shared" si="23"/>
        <v>Wed</v>
      </c>
    </row>
    <row r="385" spans="1:12" x14ac:dyDescent="0.25">
      <c r="A385" s="1">
        <v>45743</v>
      </c>
      <c r="B385" t="s">
        <v>12</v>
      </c>
      <c r="C385" t="s">
        <v>9</v>
      </c>
      <c r="D385" t="s">
        <v>19</v>
      </c>
      <c r="E385" t="s">
        <v>15</v>
      </c>
      <c r="F385">
        <v>19</v>
      </c>
      <c r="G385">
        <v>796.7</v>
      </c>
      <c r="H385">
        <v>15137.3</v>
      </c>
      <c r="I385">
        <f t="shared" si="20"/>
        <v>3</v>
      </c>
      <c r="J385" t="str">
        <f t="shared" si="21"/>
        <v>Mar</v>
      </c>
      <c r="K385">
        <f t="shared" si="22"/>
        <v>5</v>
      </c>
      <c r="L385" t="str">
        <f t="shared" si="23"/>
        <v>Thu</v>
      </c>
    </row>
    <row r="386" spans="1:12" x14ac:dyDescent="0.25">
      <c r="A386" s="1">
        <v>45997</v>
      </c>
      <c r="B386" t="s">
        <v>40</v>
      </c>
      <c r="C386" t="s">
        <v>9</v>
      </c>
      <c r="D386" t="s">
        <v>17</v>
      </c>
      <c r="E386" t="s">
        <v>22</v>
      </c>
      <c r="F386">
        <v>18</v>
      </c>
      <c r="G386">
        <v>5660.02</v>
      </c>
      <c r="H386">
        <v>101880.36</v>
      </c>
      <c r="I386">
        <f t="shared" ref="I386:I449" si="24">MONTH(A386)</f>
        <v>12</v>
      </c>
      <c r="J386" t="str">
        <f t="shared" ref="J386:J449" si="25">TEXT(A386,"MMM")</f>
        <v>Dec</v>
      </c>
      <c r="K386">
        <f t="shared" ref="K386:K449" si="26">WEEKDAY(A386,1)</f>
        <v>7</v>
      </c>
      <c r="L386" t="str">
        <f t="shared" ref="L386:L449" si="27">TEXT(K386,"DDD")</f>
        <v>Sat</v>
      </c>
    </row>
    <row r="387" spans="1:12" x14ac:dyDescent="0.25">
      <c r="A387" s="1">
        <v>45983</v>
      </c>
      <c r="B387" t="s">
        <v>25</v>
      </c>
      <c r="C387" t="s">
        <v>13</v>
      </c>
      <c r="D387" t="s">
        <v>17</v>
      </c>
      <c r="E387" t="s">
        <v>22</v>
      </c>
      <c r="F387">
        <v>2</v>
      </c>
      <c r="G387">
        <v>3298.35</v>
      </c>
      <c r="H387">
        <v>6596.7</v>
      </c>
      <c r="I387">
        <f t="shared" si="24"/>
        <v>11</v>
      </c>
      <c r="J387" t="str">
        <f t="shared" si="25"/>
        <v>Nov</v>
      </c>
      <c r="K387">
        <f t="shared" si="26"/>
        <v>7</v>
      </c>
      <c r="L387" t="str">
        <f t="shared" si="27"/>
        <v>Sat</v>
      </c>
    </row>
    <row r="388" spans="1:12" x14ac:dyDescent="0.25">
      <c r="A388" s="1">
        <v>45700</v>
      </c>
      <c r="B388" t="s">
        <v>40</v>
      </c>
      <c r="C388" t="s">
        <v>13</v>
      </c>
      <c r="D388" t="s">
        <v>14</v>
      </c>
      <c r="E388" t="s">
        <v>18</v>
      </c>
      <c r="F388">
        <v>17</v>
      </c>
      <c r="G388">
        <v>5338.7</v>
      </c>
      <c r="H388">
        <v>90757.9</v>
      </c>
      <c r="I388">
        <f t="shared" si="24"/>
        <v>2</v>
      </c>
      <c r="J388" t="str">
        <f t="shared" si="25"/>
        <v>Feb</v>
      </c>
      <c r="K388">
        <f t="shared" si="26"/>
        <v>4</v>
      </c>
      <c r="L388" t="str">
        <f t="shared" si="27"/>
        <v>Wed</v>
      </c>
    </row>
    <row r="389" spans="1:12" x14ac:dyDescent="0.25">
      <c r="A389" s="1">
        <v>45854</v>
      </c>
      <c r="B389" t="s">
        <v>16</v>
      </c>
      <c r="C389" t="s">
        <v>9</v>
      </c>
      <c r="D389" t="s">
        <v>14</v>
      </c>
      <c r="E389" t="s">
        <v>15</v>
      </c>
      <c r="F389">
        <v>5</v>
      </c>
      <c r="G389">
        <v>3168.55</v>
      </c>
      <c r="H389">
        <v>15842.75</v>
      </c>
      <c r="I389">
        <f t="shared" si="24"/>
        <v>7</v>
      </c>
      <c r="J389" t="str">
        <f t="shared" si="25"/>
        <v>Jul</v>
      </c>
      <c r="K389">
        <f t="shared" si="26"/>
        <v>4</v>
      </c>
      <c r="L389" t="str">
        <f t="shared" si="27"/>
        <v>Wed</v>
      </c>
    </row>
    <row r="390" spans="1:12" x14ac:dyDescent="0.25">
      <c r="A390" s="1">
        <v>45768</v>
      </c>
      <c r="B390" t="s">
        <v>40</v>
      </c>
      <c r="C390" t="s">
        <v>21</v>
      </c>
      <c r="D390" t="s">
        <v>14</v>
      </c>
      <c r="E390" t="s">
        <v>26</v>
      </c>
      <c r="F390">
        <v>16</v>
      </c>
      <c r="G390">
        <v>4735.3</v>
      </c>
      <c r="H390">
        <v>75764.800000000003</v>
      </c>
      <c r="I390">
        <f t="shared" si="24"/>
        <v>4</v>
      </c>
      <c r="J390" t="str">
        <f t="shared" si="25"/>
        <v>Apr</v>
      </c>
      <c r="K390">
        <f t="shared" si="26"/>
        <v>2</v>
      </c>
      <c r="L390" t="str">
        <f t="shared" si="27"/>
        <v>Mon</v>
      </c>
    </row>
    <row r="391" spans="1:12" x14ac:dyDescent="0.25">
      <c r="A391" s="1">
        <v>45781</v>
      </c>
      <c r="B391" t="s">
        <v>20</v>
      </c>
      <c r="C391" t="s">
        <v>21</v>
      </c>
      <c r="D391" t="s">
        <v>19</v>
      </c>
      <c r="E391" t="s">
        <v>27</v>
      </c>
      <c r="F391">
        <v>10</v>
      </c>
      <c r="G391">
        <v>1930.26</v>
      </c>
      <c r="H391">
        <v>19302.599999999999</v>
      </c>
      <c r="I391">
        <f t="shared" si="24"/>
        <v>5</v>
      </c>
      <c r="J391" t="str">
        <f t="shared" si="25"/>
        <v>May</v>
      </c>
      <c r="K391">
        <f t="shared" si="26"/>
        <v>1</v>
      </c>
      <c r="L391" t="str">
        <f t="shared" si="27"/>
        <v>Sun</v>
      </c>
    </row>
    <row r="392" spans="1:12" x14ac:dyDescent="0.25">
      <c r="A392" s="1">
        <v>45899</v>
      </c>
      <c r="B392" t="s">
        <v>39</v>
      </c>
      <c r="C392" t="s">
        <v>13</v>
      </c>
      <c r="D392" t="s">
        <v>17</v>
      </c>
      <c r="E392" t="s">
        <v>18</v>
      </c>
      <c r="F392">
        <v>4</v>
      </c>
      <c r="G392">
        <v>17310.759999999998</v>
      </c>
      <c r="H392">
        <v>69243.039999999994</v>
      </c>
      <c r="I392">
        <f t="shared" si="24"/>
        <v>8</v>
      </c>
      <c r="J392" t="str">
        <f t="shared" si="25"/>
        <v>Aug</v>
      </c>
      <c r="K392">
        <f t="shared" si="26"/>
        <v>7</v>
      </c>
      <c r="L392" t="str">
        <f t="shared" si="27"/>
        <v>Sat</v>
      </c>
    </row>
    <row r="393" spans="1:12" x14ac:dyDescent="0.25">
      <c r="A393" s="1">
        <v>45870</v>
      </c>
      <c r="B393" t="s">
        <v>41</v>
      </c>
      <c r="C393" t="s">
        <v>9</v>
      </c>
      <c r="D393" t="s">
        <v>10</v>
      </c>
      <c r="E393" t="s">
        <v>18</v>
      </c>
      <c r="F393">
        <v>14</v>
      </c>
      <c r="G393">
        <v>505.97</v>
      </c>
      <c r="H393">
        <v>7083.58</v>
      </c>
      <c r="I393">
        <f t="shared" si="24"/>
        <v>8</v>
      </c>
      <c r="J393" t="str">
        <f t="shared" si="25"/>
        <v>Aug</v>
      </c>
      <c r="K393">
        <f t="shared" si="26"/>
        <v>6</v>
      </c>
      <c r="L393" t="str">
        <f t="shared" si="27"/>
        <v>Fri</v>
      </c>
    </row>
    <row r="394" spans="1:12" x14ac:dyDescent="0.25">
      <c r="A394" s="1">
        <v>45824</v>
      </c>
      <c r="B394" t="s">
        <v>12</v>
      </c>
      <c r="C394" t="s">
        <v>21</v>
      </c>
      <c r="D394" t="s">
        <v>17</v>
      </c>
      <c r="E394" t="s">
        <v>26</v>
      </c>
      <c r="F394">
        <v>3</v>
      </c>
      <c r="G394">
        <v>1120.98</v>
      </c>
      <c r="H394">
        <v>3362.94</v>
      </c>
      <c r="I394">
        <f t="shared" si="24"/>
        <v>6</v>
      </c>
      <c r="J394" t="str">
        <f t="shared" si="25"/>
        <v>Jun</v>
      </c>
      <c r="K394">
        <f t="shared" si="26"/>
        <v>2</v>
      </c>
      <c r="L394" t="str">
        <f t="shared" si="27"/>
        <v>Mon</v>
      </c>
    </row>
    <row r="395" spans="1:12" x14ac:dyDescent="0.25">
      <c r="A395" s="1">
        <v>45753</v>
      </c>
      <c r="B395" t="s">
        <v>12</v>
      </c>
      <c r="C395" t="s">
        <v>13</v>
      </c>
      <c r="D395" t="s">
        <v>14</v>
      </c>
      <c r="E395" t="s">
        <v>18</v>
      </c>
      <c r="F395">
        <v>18</v>
      </c>
      <c r="G395">
        <v>680.44</v>
      </c>
      <c r="H395">
        <v>12247.92</v>
      </c>
      <c r="I395">
        <f t="shared" si="24"/>
        <v>4</v>
      </c>
      <c r="J395" t="str">
        <f t="shared" si="25"/>
        <v>Apr</v>
      </c>
      <c r="K395">
        <f t="shared" si="26"/>
        <v>1</v>
      </c>
      <c r="L395" t="str">
        <f t="shared" si="27"/>
        <v>Sun</v>
      </c>
    </row>
    <row r="396" spans="1:12" x14ac:dyDescent="0.25">
      <c r="A396" s="1">
        <v>45853</v>
      </c>
      <c r="B396" t="s">
        <v>23</v>
      </c>
      <c r="C396" t="s">
        <v>13</v>
      </c>
      <c r="D396" t="s">
        <v>19</v>
      </c>
      <c r="E396" t="s">
        <v>27</v>
      </c>
      <c r="F396">
        <v>10</v>
      </c>
      <c r="G396">
        <v>605.14</v>
      </c>
      <c r="H396">
        <v>6051.4</v>
      </c>
      <c r="I396">
        <f t="shared" si="24"/>
        <v>7</v>
      </c>
      <c r="J396" t="str">
        <f t="shared" si="25"/>
        <v>Jul</v>
      </c>
      <c r="K396">
        <f t="shared" si="26"/>
        <v>3</v>
      </c>
      <c r="L396" t="str">
        <f t="shared" si="27"/>
        <v>Tue</v>
      </c>
    </row>
    <row r="397" spans="1:12" x14ac:dyDescent="0.25">
      <c r="A397" s="1">
        <v>45953</v>
      </c>
      <c r="B397" t="s">
        <v>8</v>
      </c>
      <c r="C397" t="s">
        <v>9</v>
      </c>
      <c r="D397" t="s">
        <v>17</v>
      </c>
      <c r="E397" t="s">
        <v>22</v>
      </c>
      <c r="F397">
        <v>15</v>
      </c>
      <c r="G397">
        <v>981.01</v>
      </c>
      <c r="H397">
        <v>14715.15</v>
      </c>
      <c r="I397">
        <f t="shared" si="24"/>
        <v>10</v>
      </c>
      <c r="J397" t="str">
        <f t="shared" si="25"/>
        <v>Oct</v>
      </c>
      <c r="K397">
        <f t="shared" si="26"/>
        <v>5</v>
      </c>
      <c r="L397" t="str">
        <f t="shared" si="27"/>
        <v>Thu</v>
      </c>
    </row>
    <row r="398" spans="1:12" x14ac:dyDescent="0.25">
      <c r="A398" s="1">
        <v>45894</v>
      </c>
      <c r="B398" t="s">
        <v>41</v>
      </c>
      <c r="C398" t="s">
        <v>21</v>
      </c>
      <c r="D398" t="s">
        <v>14</v>
      </c>
      <c r="E398" t="s">
        <v>18</v>
      </c>
      <c r="F398">
        <v>6</v>
      </c>
      <c r="G398">
        <v>705.57</v>
      </c>
      <c r="H398">
        <v>4233.42</v>
      </c>
      <c r="I398">
        <f t="shared" si="24"/>
        <v>8</v>
      </c>
      <c r="J398" t="str">
        <f t="shared" si="25"/>
        <v>Aug</v>
      </c>
      <c r="K398">
        <f t="shared" si="26"/>
        <v>2</v>
      </c>
      <c r="L398" t="str">
        <f t="shared" si="27"/>
        <v>Mon</v>
      </c>
    </row>
    <row r="399" spans="1:12" x14ac:dyDescent="0.25">
      <c r="A399" s="1">
        <v>45919</v>
      </c>
      <c r="B399" t="s">
        <v>23</v>
      </c>
      <c r="C399" t="s">
        <v>9</v>
      </c>
      <c r="D399" t="s">
        <v>10</v>
      </c>
      <c r="E399" t="s">
        <v>11</v>
      </c>
      <c r="F399">
        <v>18</v>
      </c>
      <c r="G399">
        <v>641.04999999999995</v>
      </c>
      <c r="H399">
        <v>11538.9</v>
      </c>
      <c r="I399">
        <f t="shared" si="24"/>
        <v>9</v>
      </c>
      <c r="J399" t="str">
        <f t="shared" si="25"/>
        <v>Sep</v>
      </c>
      <c r="K399">
        <f t="shared" si="26"/>
        <v>6</v>
      </c>
      <c r="L399" t="str">
        <f t="shared" si="27"/>
        <v>Fri</v>
      </c>
    </row>
    <row r="400" spans="1:12" x14ac:dyDescent="0.25">
      <c r="A400" s="1">
        <v>45876</v>
      </c>
      <c r="B400" t="s">
        <v>39</v>
      </c>
      <c r="C400" t="s">
        <v>13</v>
      </c>
      <c r="D400" t="s">
        <v>19</v>
      </c>
      <c r="E400" t="s">
        <v>15</v>
      </c>
      <c r="F400">
        <v>16</v>
      </c>
      <c r="G400">
        <v>11868.94</v>
      </c>
      <c r="H400">
        <v>189903.04</v>
      </c>
      <c r="I400">
        <f t="shared" si="24"/>
        <v>8</v>
      </c>
      <c r="J400" t="str">
        <f t="shared" si="25"/>
        <v>Aug</v>
      </c>
      <c r="K400">
        <f t="shared" si="26"/>
        <v>5</v>
      </c>
      <c r="L400" t="str">
        <f t="shared" si="27"/>
        <v>Thu</v>
      </c>
    </row>
    <row r="401" spans="1:12" x14ac:dyDescent="0.25">
      <c r="A401" s="1">
        <v>45916</v>
      </c>
      <c r="B401" t="s">
        <v>25</v>
      </c>
      <c r="C401" t="s">
        <v>21</v>
      </c>
      <c r="D401" t="s">
        <v>14</v>
      </c>
      <c r="E401" t="s">
        <v>11</v>
      </c>
      <c r="F401">
        <v>9</v>
      </c>
      <c r="G401">
        <v>4137.57</v>
      </c>
      <c r="H401">
        <v>37238.129999999997</v>
      </c>
      <c r="I401">
        <f t="shared" si="24"/>
        <v>9</v>
      </c>
      <c r="J401" t="str">
        <f t="shared" si="25"/>
        <v>Sep</v>
      </c>
      <c r="K401">
        <f t="shared" si="26"/>
        <v>3</v>
      </c>
      <c r="L401" t="str">
        <f t="shared" si="27"/>
        <v>Tue</v>
      </c>
    </row>
    <row r="402" spans="1:12" x14ac:dyDescent="0.25">
      <c r="A402" s="1">
        <v>45958</v>
      </c>
      <c r="B402" t="s">
        <v>20</v>
      </c>
      <c r="C402" t="s">
        <v>9</v>
      </c>
      <c r="D402" t="s">
        <v>10</v>
      </c>
      <c r="E402" t="s">
        <v>22</v>
      </c>
      <c r="F402">
        <v>13</v>
      </c>
      <c r="G402">
        <v>1340.71</v>
      </c>
      <c r="H402">
        <v>17429.23</v>
      </c>
      <c r="I402">
        <f t="shared" si="24"/>
        <v>10</v>
      </c>
      <c r="J402" t="str">
        <f t="shared" si="25"/>
        <v>Oct</v>
      </c>
      <c r="K402">
        <f t="shared" si="26"/>
        <v>3</v>
      </c>
      <c r="L402" t="str">
        <f t="shared" si="27"/>
        <v>Tue</v>
      </c>
    </row>
    <row r="403" spans="1:12" x14ac:dyDescent="0.25">
      <c r="A403" s="1">
        <v>45758</v>
      </c>
      <c r="B403" t="s">
        <v>12</v>
      </c>
      <c r="C403" t="s">
        <v>13</v>
      </c>
      <c r="D403" t="s">
        <v>10</v>
      </c>
      <c r="E403" t="s">
        <v>11</v>
      </c>
      <c r="F403">
        <v>5</v>
      </c>
      <c r="G403">
        <v>932.27</v>
      </c>
      <c r="H403">
        <v>4661.3500000000004</v>
      </c>
      <c r="I403">
        <f t="shared" si="24"/>
        <v>4</v>
      </c>
      <c r="J403" t="str">
        <f t="shared" si="25"/>
        <v>Apr</v>
      </c>
      <c r="K403">
        <f t="shared" si="26"/>
        <v>6</v>
      </c>
      <c r="L403" t="str">
        <f t="shared" si="27"/>
        <v>Fri</v>
      </c>
    </row>
    <row r="404" spans="1:12" x14ac:dyDescent="0.25">
      <c r="A404" s="1">
        <v>46009</v>
      </c>
      <c r="B404" t="s">
        <v>8</v>
      </c>
      <c r="C404" t="s">
        <v>9</v>
      </c>
      <c r="D404" t="s">
        <v>19</v>
      </c>
      <c r="E404" t="s">
        <v>26</v>
      </c>
      <c r="F404">
        <v>5</v>
      </c>
      <c r="G404">
        <v>1540.89</v>
      </c>
      <c r="H404">
        <v>7704.45</v>
      </c>
      <c r="I404">
        <f t="shared" si="24"/>
        <v>12</v>
      </c>
      <c r="J404" t="str">
        <f t="shared" si="25"/>
        <v>Dec</v>
      </c>
      <c r="K404">
        <f t="shared" si="26"/>
        <v>5</v>
      </c>
      <c r="L404" t="str">
        <f t="shared" si="27"/>
        <v>Thu</v>
      </c>
    </row>
    <row r="405" spans="1:12" x14ac:dyDescent="0.25">
      <c r="A405" s="1">
        <v>45921</v>
      </c>
      <c r="B405" t="s">
        <v>8</v>
      </c>
      <c r="C405" t="s">
        <v>21</v>
      </c>
      <c r="D405" t="s">
        <v>14</v>
      </c>
      <c r="E405" t="s">
        <v>11</v>
      </c>
      <c r="F405">
        <v>12</v>
      </c>
      <c r="G405">
        <v>1551.41</v>
      </c>
      <c r="H405">
        <v>18616.919999999998</v>
      </c>
      <c r="I405">
        <f t="shared" si="24"/>
        <v>9</v>
      </c>
      <c r="J405" t="str">
        <f t="shared" si="25"/>
        <v>Sep</v>
      </c>
      <c r="K405">
        <f t="shared" si="26"/>
        <v>1</v>
      </c>
      <c r="L405" t="str">
        <f t="shared" si="27"/>
        <v>Sun</v>
      </c>
    </row>
    <row r="406" spans="1:12" x14ac:dyDescent="0.25">
      <c r="A406" s="1">
        <v>46020</v>
      </c>
      <c r="B406" t="s">
        <v>40</v>
      </c>
      <c r="C406" t="s">
        <v>9</v>
      </c>
      <c r="D406" t="s">
        <v>19</v>
      </c>
      <c r="E406" t="s">
        <v>26</v>
      </c>
      <c r="F406">
        <v>3</v>
      </c>
      <c r="G406">
        <v>6139.47</v>
      </c>
      <c r="H406">
        <v>18418.41</v>
      </c>
      <c r="I406">
        <f t="shared" si="24"/>
        <v>12</v>
      </c>
      <c r="J406" t="str">
        <f t="shared" si="25"/>
        <v>Dec</v>
      </c>
      <c r="K406">
        <f t="shared" si="26"/>
        <v>2</v>
      </c>
      <c r="L406" t="str">
        <f t="shared" si="27"/>
        <v>Mon</v>
      </c>
    </row>
    <row r="407" spans="1:12" x14ac:dyDescent="0.25">
      <c r="A407" s="1">
        <v>45942</v>
      </c>
      <c r="B407" t="s">
        <v>12</v>
      </c>
      <c r="C407" t="s">
        <v>9</v>
      </c>
      <c r="D407" t="s">
        <v>19</v>
      </c>
      <c r="E407" t="s">
        <v>26</v>
      </c>
      <c r="F407">
        <v>1</v>
      </c>
      <c r="G407">
        <v>759.53</v>
      </c>
      <c r="H407">
        <v>759.53</v>
      </c>
      <c r="I407">
        <f t="shared" si="24"/>
        <v>10</v>
      </c>
      <c r="J407" t="str">
        <f t="shared" si="25"/>
        <v>Oct</v>
      </c>
      <c r="K407">
        <f t="shared" si="26"/>
        <v>1</v>
      </c>
      <c r="L407" t="str">
        <f t="shared" si="27"/>
        <v>Sun</v>
      </c>
    </row>
    <row r="408" spans="1:12" x14ac:dyDescent="0.25">
      <c r="A408" s="1">
        <v>45836</v>
      </c>
      <c r="B408" t="s">
        <v>16</v>
      </c>
      <c r="C408" t="s">
        <v>9</v>
      </c>
      <c r="D408" t="s">
        <v>10</v>
      </c>
      <c r="E408" t="s">
        <v>26</v>
      </c>
      <c r="F408">
        <v>11</v>
      </c>
      <c r="G408">
        <v>2726.72</v>
      </c>
      <c r="H408">
        <v>29993.919999999998</v>
      </c>
      <c r="I408">
        <f t="shared" si="24"/>
        <v>6</v>
      </c>
      <c r="J408" t="str">
        <f t="shared" si="25"/>
        <v>Jun</v>
      </c>
      <c r="K408">
        <f t="shared" si="26"/>
        <v>7</v>
      </c>
      <c r="L408" t="str">
        <f t="shared" si="27"/>
        <v>Sat</v>
      </c>
    </row>
    <row r="409" spans="1:12" x14ac:dyDescent="0.25">
      <c r="A409" s="1">
        <v>45832</v>
      </c>
      <c r="B409" t="s">
        <v>25</v>
      </c>
      <c r="C409" t="s">
        <v>9</v>
      </c>
      <c r="D409" t="s">
        <v>17</v>
      </c>
      <c r="E409" t="s">
        <v>18</v>
      </c>
      <c r="F409">
        <v>11</v>
      </c>
      <c r="G409">
        <v>4221.8500000000004</v>
      </c>
      <c r="H409">
        <v>46440.35</v>
      </c>
      <c r="I409">
        <f t="shared" si="24"/>
        <v>6</v>
      </c>
      <c r="J409" t="str">
        <f t="shared" si="25"/>
        <v>Jun</v>
      </c>
      <c r="K409">
        <f t="shared" si="26"/>
        <v>3</v>
      </c>
      <c r="L409" t="str">
        <f t="shared" si="27"/>
        <v>Tue</v>
      </c>
    </row>
    <row r="410" spans="1:12" x14ac:dyDescent="0.25">
      <c r="A410" s="1">
        <v>46003</v>
      </c>
      <c r="B410" t="s">
        <v>23</v>
      </c>
      <c r="C410" t="s">
        <v>9</v>
      </c>
      <c r="D410" t="s">
        <v>19</v>
      </c>
      <c r="E410" t="s">
        <v>15</v>
      </c>
      <c r="F410">
        <v>16</v>
      </c>
      <c r="G410">
        <v>611.04</v>
      </c>
      <c r="H410">
        <v>9776.64</v>
      </c>
      <c r="I410">
        <f t="shared" si="24"/>
        <v>12</v>
      </c>
      <c r="J410" t="str">
        <f t="shared" si="25"/>
        <v>Dec</v>
      </c>
      <c r="K410">
        <f t="shared" si="26"/>
        <v>6</v>
      </c>
      <c r="L410" t="str">
        <f t="shared" si="27"/>
        <v>Fri</v>
      </c>
    </row>
    <row r="411" spans="1:12" x14ac:dyDescent="0.25">
      <c r="A411" s="1">
        <v>45904</v>
      </c>
      <c r="B411" t="s">
        <v>20</v>
      </c>
      <c r="C411" t="s">
        <v>21</v>
      </c>
      <c r="D411" t="s">
        <v>17</v>
      </c>
      <c r="E411" t="s">
        <v>18</v>
      </c>
      <c r="F411">
        <v>1</v>
      </c>
      <c r="G411">
        <v>1803.34</v>
      </c>
      <c r="H411">
        <v>1803.34</v>
      </c>
      <c r="I411">
        <f t="shared" si="24"/>
        <v>9</v>
      </c>
      <c r="J411" t="str">
        <f t="shared" si="25"/>
        <v>Sep</v>
      </c>
      <c r="K411">
        <f t="shared" si="26"/>
        <v>5</v>
      </c>
      <c r="L411" t="str">
        <f t="shared" si="27"/>
        <v>Thu</v>
      </c>
    </row>
    <row r="412" spans="1:12" x14ac:dyDescent="0.25">
      <c r="A412" s="1">
        <v>45999</v>
      </c>
      <c r="B412" t="s">
        <v>23</v>
      </c>
      <c r="C412" t="s">
        <v>21</v>
      </c>
      <c r="D412" t="s">
        <v>17</v>
      </c>
      <c r="E412" t="s">
        <v>15</v>
      </c>
      <c r="F412">
        <v>3</v>
      </c>
      <c r="G412">
        <v>926.31</v>
      </c>
      <c r="H412">
        <v>2778.93</v>
      </c>
      <c r="I412">
        <f t="shared" si="24"/>
        <v>12</v>
      </c>
      <c r="J412" t="str">
        <f t="shared" si="25"/>
        <v>Dec</v>
      </c>
      <c r="K412">
        <f t="shared" si="26"/>
        <v>2</v>
      </c>
      <c r="L412" t="str">
        <f t="shared" si="27"/>
        <v>Mon</v>
      </c>
    </row>
    <row r="413" spans="1:12" x14ac:dyDescent="0.25">
      <c r="A413" s="1">
        <v>45958</v>
      </c>
      <c r="B413" t="s">
        <v>8</v>
      </c>
      <c r="C413" t="s">
        <v>21</v>
      </c>
      <c r="D413" t="s">
        <v>19</v>
      </c>
      <c r="E413" t="s">
        <v>27</v>
      </c>
      <c r="F413">
        <v>17</v>
      </c>
      <c r="G413">
        <v>1391.57</v>
      </c>
      <c r="H413">
        <v>23656.69</v>
      </c>
      <c r="I413">
        <f t="shared" si="24"/>
        <v>10</v>
      </c>
      <c r="J413" t="str">
        <f t="shared" si="25"/>
        <v>Oct</v>
      </c>
      <c r="K413">
        <f t="shared" si="26"/>
        <v>3</v>
      </c>
      <c r="L413" t="str">
        <f t="shared" si="27"/>
        <v>Tue</v>
      </c>
    </row>
    <row r="414" spans="1:12" x14ac:dyDescent="0.25">
      <c r="A414" s="1">
        <v>46011</v>
      </c>
      <c r="B414" t="s">
        <v>16</v>
      </c>
      <c r="C414" t="s">
        <v>13</v>
      </c>
      <c r="D414" t="s">
        <v>17</v>
      </c>
      <c r="E414" t="s">
        <v>11</v>
      </c>
      <c r="F414">
        <v>2</v>
      </c>
      <c r="G414">
        <v>2420.58</v>
      </c>
      <c r="H414">
        <v>4841.16</v>
      </c>
      <c r="I414">
        <f t="shared" si="24"/>
        <v>12</v>
      </c>
      <c r="J414" t="str">
        <f t="shared" si="25"/>
        <v>Dec</v>
      </c>
      <c r="K414">
        <f t="shared" si="26"/>
        <v>7</v>
      </c>
      <c r="L414" t="str">
        <f t="shared" si="27"/>
        <v>Sat</v>
      </c>
    </row>
    <row r="415" spans="1:12" x14ac:dyDescent="0.25">
      <c r="A415" s="1">
        <v>45695</v>
      </c>
      <c r="B415" t="s">
        <v>8</v>
      </c>
      <c r="C415" t="s">
        <v>9</v>
      </c>
      <c r="D415" t="s">
        <v>19</v>
      </c>
      <c r="E415" t="s">
        <v>11</v>
      </c>
      <c r="F415">
        <v>19</v>
      </c>
      <c r="G415">
        <v>1543.3</v>
      </c>
      <c r="H415">
        <v>29322.7</v>
      </c>
      <c r="I415">
        <f t="shared" si="24"/>
        <v>2</v>
      </c>
      <c r="J415" t="str">
        <f t="shared" si="25"/>
        <v>Feb</v>
      </c>
      <c r="K415">
        <f t="shared" si="26"/>
        <v>6</v>
      </c>
      <c r="L415" t="str">
        <f t="shared" si="27"/>
        <v>Fri</v>
      </c>
    </row>
    <row r="416" spans="1:12" x14ac:dyDescent="0.25">
      <c r="A416" s="1">
        <v>45990</v>
      </c>
      <c r="B416" t="s">
        <v>8</v>
      </c>
      <c r="C416" t="s">
        <v>9</v>
      </c>
      <c r="D416" t="s">
        <v>17</v>
      </c>
      <c r="E416" t="s">
        <v>26</v>
      </c>
      <c r="F416">
        <v>6</v>
      </c>
      <c r="G416">
        <v>1041.6300000000001</v>
      </c>
      <c r="H416">
        <v>6249.78</v>
      </c>
      <c r="I416">
        <f t="shared" si="24"/>
        <v>11</v>
      </c>
      <c r="J416" t="str">
        <f t="shared" si="25"/>
        <v>Nov</v>
      </c>
      <c r="K416">
        <f t="shared" si="26"/>
        <v>7</v>
      </c>
      <c r="L416" t="str">
        <f t="shared" si="27"/>
        <v>Sat</v>
      </c>
    </row>
    <row r="417" spans="1:12" x14ac:dyDescent="0.25">
      <c r="A417" s="1">
        <v>45739</v>
      </c>
      <c r="B417" t="s">
        <v>23</v>
      </c>
      <c r="C417" t="s">
        <v>13</v>
      </c>
      <c r="D417" t="s">
        <v>14</v>
      </c>
      <c r="E417" t="s">
        <v>11</v>
      </c>
      <c r="F417">
        <v>9</v>
      </c>
      <c r="G417">
        <v>962.94</v>
      </c>
      <c r="H417">
        <v>8666.4599999999991</v>
      </c>
      <c r="I417">
        <f t="shared" si="24"/>
        <v>3</v>
      </c>
      <c r="J417" t="str">
        <f t="shared" si="25"/>
        <v>Mar</v>
      </c>
      <c r="K417">
        <f t="shared" si="26"/>
        <v>1</v>
      </c>
      <c r="L417" t="str">
        <f t="shared" si="27"/>
        <v>Sun</v>
      </c>
    </row>
    <row r="418" spans="1:12" x14ac:dyDescent="0.25">
      <c r="A418" s="1">
        <v>45829</v>
      </c>
      <c r="B418" t="s">
        <v>20</v>
      </c>
      <c r="C418" t="s">
        <v>21</v>
      </c>
      <c r="D418" t="s">
        <v>10</v>
      </c>
      <c r="E418" t="s">
        <v>22</v>
      </c>
      <c r="F418">
        <v>19</v>
      </c>
      <c r="G418">
        <v>1835.48</v>
      </c>
      <c r="H418">
        <v>34874.120000000003</v>
      </c>
      <c r="I418">
        <f t="shared" si="24"/>
        <v>6</v>
      </c>
      <c r="J418" t="str">
        <f t="shared" si="25"/>
        <v>Jun</v>
      </c>
      <c r="K418">
        <f t="shared" si="26"/>
        <v>7</v>
      </c>
      <c r="L418" t="str">
        <f t="shared" si="27"/>
        <v>Sat</v>
      </c>
    </row>
    <row r="419" spans="1:12" x14ac:dyDescent="0.25">
      <c r="A419" s="1">
        <v>45776</v>
      </c>
      <c r="B419" t="s">
        <v>25</v>
      </c>
      <c r="C419" t="s">
        <v>9</v>
      </c>
      <c r="D419" t="s">
        <v>17</v>
      </c>
      <c r="E419" t="s">
        <v>18</v>
      </c>
      <c r="F419">
        <v>8</v>
      </c>
      <c r="G419">
        <v>3002.96</v>
      </c>
      <c r="H419">
        <v>24023.68</v>
      </c>
      <c r="I419">
        <f t="shared" si="24"/>
        <v>4</v>
      </c>
      <c r="J419" t="str">
        <f t="shared" si="25"/>
        <v>Apr</v>
      </c>
      <c r="K419">
        <f t="shared" si="26"/>
        <v>3</v>
      </c>
      <c r="L419" t="str">
        <f t="shared" si="27"/>
        <v>Tue</v>
      </c>
    </row>
    <row r="420" spans="1:12" x14ac:dyDescent="0.25">
      <c r="A420" s="1">
        <v>45921</v>
      </c>
      <c r="B420" t="s">
        <v>39</v>
      </c>
      <c r="C420" t="s">
        <v>9</v>
      </c>
      <c r="D420" t="s">
        <v>14</v>
      </c>
      <c r="E420" t="s">
        <v>11</v>
      </c>
      <c r="F420">
        <v>3</v>
      </c>
      <c r="G420">
        <v>12537.16</v>
      </c>
      <c r="H420">
        <v>37611.480000000003</v>
      </c>
      <c r="I420">
        <f t="shared" si="24"/>
        <v>9</v>
      </c>
      <c r="J420" t="str">
        <f t="shared" si="25"/>
        <v>Sep</v>
      </c>
      <c r="K420">
        <f t="shared" si="26"/>
        <v>1</v>
      </c>
      <c r="L420" t="str">
        <f t="shared" si="27"/>
        <v>Sun</v>
      </c>
    </row>
    <row r="421" spans="1:12" x14ac:dyDescent="0.25">
      <c r="A421" s="1">
        <v>45990</v>
      </c>
      <c r="B421" t="s">
        <v>40</v>
      </c>
      <c r="C421" t="s">
        <v>13</v>
      </c>
      <c r="D421" t="s">
        <v>19</v>
      </c>
      <c r="E421" t="s">
        <v>27</v>
      </c>
      <c r="F421">
        <v>8</v>
      </c>
      <c r="G421">
        <v>6131.79</v>
      </c>
      <c r="H421">
        <v>49054.32</v>
      </c>
      <c r="I421">
        <f t="shared" si="24"/>
        <v>11</v>
      </c>
      <c r="J421" t="str">
        <f t="shared" si="25"/>
        <v>Nov</v>
      </c>
      <c r="K421">
        <f t="shared" si="26"/>
        <v>7</v>
      </c>
      <c r="L421" t="str">
        <f t="shared" si="27"/>
        <v>Sat</v>
      </c>
    </row>
    <row r="422" spans="1:12" x14ac:dyDescent="0.25">
      <c r="A422" s="1">
        <v>45781</v>
      </c>
      <c r="B422" t="s">
        <v>25</v>
      </c>
      <c r="C422" t="s">
        <v>9</v>
      </c>
      <c r="D422" t="s">
        <v>19</v>
      </c>
      <c r="E422" t="s">
        <v>15</v>
      </c>
      <c r="F422">
        <v>17</v>
      </c>
      <c r="G422">
        <v>3049.11</v>
      </c>
      <c r="H422">
        <v>51834.87</v>
      </c>
      <c r="I422">
        <f t="shared" si="24"/>
        <v>5</v>
      </c>
      <c r="J422" t="str">
        <f t="shared" si="25"/>
        <v>May</v>
      </c>
      <c r="K422">
        <f t="shared" si="26"/>
        <v>1</v>
      </c>
      <c r="L422" t="str">
        <f t="shared" si="27"/>
        <v>Sun</v>
      </c>
    </row>
    <row r="423" spans="1:12" x14ac:dyDescent="0.25">
      <c r="A423" s="1">
        <v>45924</v>
      </c>
      <c r="B423" t="s">
        <v>23</v>
      </c>
      <c r="C423" t="s">
        <v>13</v>
      </c>
      <c r="D423" t="s">
        <v>19</v>
      </c>
      <c r="E423" t="s">
        <v>26</v>
      </c>
      <c r="F423">
        <v>5</v>
      </c>
      <c r="G423">
        <v>681.11</v>
      </c>
      <c r="H423">
        <v>3405.55</v>
      </c>
      <c r="I423">
        <f t="shared" si="24"/>
        <v>9</v>
      </c>
      <c r="J423" t="str">
        <f t="shared" si="25"/>
        <v>Sep</v>
      </c>
      <c r="K423">
        <f t="shared" si="26"/>
        <v>4</v>
      </c>
      <c r="L423" t="str">
        <f t="shared" si="27"/>
        <v>Wed</v>
      </c>
    </row>
    <row r="424" spans="1:12" x14ac:dyDescent="0.25">
      <c r="A424" s="1">
        <v>46013</v>
      </c>
      <c r="B424" t="s">
        <v>23</v>
      </c>
      <c r="C424" t="s">
        <v>9</v>
      </c>
      <c r="D424" t="s">
        <v>17</v>
      </c>
      <c r="E424" t="s">
        <v>15</v>
      </c>
      <c r="F424">
        <v>9</v>
      </c>
      <c r="G424">
        <v>996.62</v>
      </c>
      <c r="H424">
        <v>8969.58</v>
      </c>
      <c r="I424">
        <f t="shared" si="24"/>
        <v>12</v>
      </c>
      <c r="J424" t="str">
        <f t="shared" si="25"/>
        <v>Dec</v>
      </c>
      <c r="K424">
        <f t="shared" si="26"/>
        <v>2</v>
      </c>
      <c r="L424" t="str">
        <f t="shared" si="27"/>
        <v>Mon</v>
      </c>
    </row>
    <row r="425" spans="1:12" x14ac:dyDescent="0.25">
      <c r="A425" s="1">
        <v>45980</v>
      </c>
      <c r="B425" t="s">
        <v>23</v>
      </c>
      <c r="C425" t="s">
        <v>9</v>
      </c>
      <c r="D425" t="s">
        <v>14</v>
      </c>
      <c r="E425" t="s">
        <v>18</v>
      </c>
      <c r="F425">
        <v>8</v>
      </c>
      <c r="G425">
        <v>808.37</v>
      </c>
      <c r="H425">
        <v>6466.96</v>
      </c>
      <c r="I425">
        <f t="shared" si="24"/>
        <v>11</v>
      </c>
      <c r="J425" t="str">
        <f t="shared" si="25"/>
        <v>Nov</v>
      </c>
      <c r="K425">
        <f t="shared" si="26"/>
        <v>4</v>
      </c>
      <c r="L425" t="str">
        <f t="shared" si="27"/>
        <v>Wed</v>
      </c>
    </row>
    <row r="426" spans="1:12" x14ac:dyDescent="0.25">
      <c r="A426" s="1">
        <v>45988</v>
      </c>
      <c r="B426" t="s">
        <v>25</v>
      </c>
      <c r="C426" t="s">
        <v>21</v>
      </c>
      <c r="D426" t="s">
        <v>10</v>
      </c>
      <c r="E426" t="s">
        <v>22</v>
      </c>
      <c r="F426">
        <v>19</v>
      </c>
      <c r="G426">
        <v>4324.3</v>
      </c>
      <c r="H426">
        <v>82161.7</v>
      </c>
      <c r="I426">
        <f t="shared" si="24"/>
        <v>11</v>
      </c>
      <c r="J426" t="str">
        <f t="shared" si="25"/>
        <v>Nov</v>
      </c>
      <c r="K426">
        <f t="shared" si="26"/>
        <v>5</v>
      </c>
      <c r="L426" t="str">
        <f t="shared" si="27"/>
        <v>Thu</v>
      </c>
    </row>
    <row r="427" spans="1:12" x14ac:dyDescent="0.25">
      <c r="A427" s="1">
        <v>45749</v>
      </c>
      <c r="B427" t="s">
        <v>25</v>
      </c>
      <c r="C427" t="s">
        <v>9</v>
      </c>
      <c r="D427" t="s">
        <v>10</v>
      </c>
      <c r="E427" t="s">
        <v>18</v>
      </c>
      <c r="F427">
        <v>19</v>
      </c>
      <c r="G427">
        <v>2948.61</v>
      </c>
      <c r="H427">
        <v>56023.59</v>
      </c>
      <c r="I427">
        <f t="shared" si="24"/>
        <v>4</v>
      </c>
      <c r="J427" t="str">
        <f t="shared" si="25"/>
        <v>Apr</v>
      </c>
      <c r="K427">
        <f t="shared" si="26"/>
        <v>4</v>
      </c>
      <c r="L427" t="str">
        <f t="shared" si="27"/>
        <v>Wed</v>
      </c>
    </row>
    <row r="428" spans="1:12" x14ac:dyDescent="0.25">
      <c r="A428" s="1">
        <v>46004</v>
      </c>
      <c r="B428" t="s">
        <v>8</v>
      </c>
      <c r="C428" t="s">
        <v>21</v>
      </c>
      <c r="D428" t="s">
        <v>19</v>
      </c>
      <c r="E428" t="s">
        <v>15</v>
      </c>
      <c r="F428">
        <v>3</v>
      </c>
      <c r="G428">
        <v>1309.5999999999999</v>
      </c>
      <c r="H428">
        <v>3928.8</v>
      </c>
      <c r="I428">
        <f t="shared" si="24"/>
        <v>12</v>
      </c>
      <c r="J428" t="str">
        <f t="shared" si="25"/>
        <v>Dec</v>
      </c>
      <c r="K428">
        <f t="shared" si="26"/>
        <v>7</v>
      </c>
      <c r="L428" t="str">
        <f t="shared" si="27"/>
        <v>Sat</v>
      </c>
    </row>
    <row r="429" spans="1:12" x14ac:dyDescent="0.25">
      <c r="A429" s="1">
        <v>45850</v>
      </c>
      <c r="B429" t="s">
        <v>41</v>
      </c>
      <c r="C429" t="s">
        <v>21</v>
      </c>
      <c r="D429" t="s">
        <v>10</v>
      </c>
      <c r="E429" t="s">
        <v>22</v>
      </c>
      <c r="F429">
        <v>1</v>
      </c>
      <c r="G429">
        <v>516.83000000000004</v>
      </c>
      <c r="H429">
        <v>516.83000000000004</v>
      </c>
      <c r="I429">
        <f t="shared" si="24"/>
        <v>7</v>
      </c>
      <c r="J429" t="str">
        <f t="shared" si="25"/>
        <v>Jul</v>
      </c>
      <c r="K429">
        <f t="shared" si="26"/>
        <v>7</v>
      </c>
      <c r="L429" t="str">
        <f t="shared" si="27"/>
        <v>Sat</v>
      </c>
    </row>
    <row r="430" spans="1:12" x14ac:dyDescent="0.25">
      <c r="A430" s="1">
        <v>45918</v>
      </c>
      <c r="B430" t="s">
        <v>25</v>
      </c>
      <c r="C430" t="s">
        <v>9</v>
      </c>
      <c r="D430" t="s">
        <v>14</v>
      </c>
      <c r="E430" t="s">
        <v>18</v>
      </c>
      <c r="F430">
        <v>12</v>
      </c>
      <c r="G430">
        <v>3718.55</v>
      </c>
      <c r="H430">
        <v>44622.6</v>
      </c>
      <c r="I430">
        <f t="shared" si="24"/>
        <v>9</v>
      </c>
      <c r="J430" t="str">
        <f t="shared" si="25"/>
        <v>Sep</v>
      </c>
      <c r="K430">
        <f t="shared" si="26"/>
        <v>5</v>
      </c>
      <c r="L430" t="str">
        <f t="shared" si="27"/>
        <v>Thu</v>
      </c>
    </row>
    <row r="431" spans="1:12" x14ac:dyDescent="0.25">
      <c r="A431" s="1">
        <v>45939</v>
      </c>
      <c r="B431" t="s">
        <v>41</v>
      </c>
      <c r="C431" t="s">
        <v>13</v>
      </c>
      <c r="D431" t="s">
        <v>19</v>
      </c>
      <c r="E431" t="s">
        <v>26</v>
      </c>
      <c r="F431">
        <v>1</v>
      </c>
      <c r="G431">
        <v>582.16999999999996</v>
      </c>
      <c r="H431">
        <v>582.16999999999996</v>
      </c>
      <c r="I431">
        <f t="shared" si="24"/>
        <v>10</v>
      </c>
      <c r="J431" t="str">
        <f t="shared" si="25"/>
        <v>Oct</v>
      </c>
      <c r="K431">
        <f t="shared" si="26"/>
        <v>5</v>
      </c>
      <c r="L431" t="str">
        <f t="shared" si="27"/>
        <v>Thu</v>
      </c>
    </row>
    <row r="432" spans="1:12" x14ac:dyDescent="0.25">
      <c r="A432" s="1">
        <v>45765</v>
      </c>
      <c r="B432" t="s">
        <v>39</v>
      </c>
      <c r="C432" t="s">
        <v>13</v>
      </c>
      <c r="D432" t="s">
        <v>19</v>
      </c>
      <c r="E432" t="s">
        <v>11</v>
      </c>
      <c r="F432">
        <v>16</v>
      </c>
      <c r="G432">
        <v>13026.15</v>
      </c>
      <c r="H432">
        <v>208418.4</v>
      </c>
      <c r="I432">
        <f t="shared" si="24"/>
        <v>4</v>
      </c>
      <c r="J432" t="str">
        <f t="shared" si="25"/>
        <v>Apr</v>
      </c>
      <c r="K432">
        <f t="shared" si="26"/>
        <v>6</v>
      </c>
      <c r="L432" t="str">
        <f t="shared" si="27"/>
        <v>Fri</v>
      </c>
    </row>
    <row r="433" spans="1:12" x14ac:dyDescent="0.25">
      <c r="A433" s="1">
        <v>45968</v>
      </c>
      <c r="B433" t="s">
        <v>39</v>
      </c>
      <c r="C433" t="s">
        <v>9</v>
      </c>
      <c r="D433" t="s">
        <v>17</v>
      </c>
      <c r="E433" t="s">
        <v>22</v>
      </c>
      <c r="F433">
        <v>14</v>
      </c>
      <c r="G433">
        <v>10945.47</v>
      </c>
      <c r="H433">
        <v>153236.57999999999</v>
      </c>
      <c r="I433">
        <f t="shared" si="24"/>
        <v>11</v>
      </c>
      <c r="J433" t="str">
        <f t="shared" si="25"/>
        <v>Nov</v>
      </c>
      <c r="K433">
        <f t="shared" si="26"/>
        <v>6</v>
      </c>
      <c r="L433" t="str">
        <f t="shared" si="27"/>
        <v>Fri</v>
      </c>
    </row>
    <row r="434" spans="1:12" x14ac:dyDescent="0.25">
      <c r="A434" s="1">
        <v>45792</v>
      </c>
      <c r="B434" t="s">
        <v>8</v>
      </c>
      <c r="C434" t="s">
        <v>9</v>
      </c>
      <c r="D434" t="s">
        <v>14</v>
      </c>
      <c r="E434" t="s">
        <v>15</v>
      </c>
      <c r="F434">
        <v>17</v>
      </c>
      <c r="G434">
        <v>997.33</v>
      </c>
      <c r="H434">
        <v>16954.61</v>
      </c>
      <c r="I434">
        <f t="shared" si="24"/>
        <v>5</v>
      </c>
      <c r="J434" t="str">
        <f t="shared" si="25"/>
        <v>May</v>
      </c>
      <c r="K434">
        <f t="shared" si="26"/>
        <v>5</v>
      </c>
      <c r="L434" t="str">
        <f t="shared" si="27"/>
        <v>Thu</v>
      </c>
    </row>
    <row r="435" spans="1:12" x14ac:dyDescent="0.25">
      <c r="A435" s="1">
        <v>45762</v>
      </c>
      <c r="B435" t="s">
        <v>25</v>
      </c>
      <c r="C435" t="s">
        <v>21</v>
      </c>
      <c r="D435" t="s">
        <v>17</v>
      </c>
      <c r="E435" t="s">
        <v>22</v>
      </c>
      <c r="F435">
        <v>5</v>
      </c>
      <c r="G435">
        <v>3047.58</v>
      </c>
      <c r="H435">
        <v>15237.9</v>
      </c>
      <c r="I435">
        <f t="shared" si="24"/>
        <v>4</v>
      </c>
      <c r="J435" t="str">
        <f t="shared" si="25"/>
        <v>Apr</v>
      </c>
      <c r="K435">
        <f t="shared" si="26"/>
        <v>3</v>
      </c>
      <c r="L435" t="str">
        <f t="shared" si="27"/>
        <v>Tue</v>
      </c>
    </row>
    <row r="436" spans="1:12" x14ac:dyDescent="0.25">
      <c r="A436" s="1">
        <v>45674</v>
      </c>
      <c r="B436" t="s">
        <v>41</v>
      </c>
      <c r="C436" t="s">
        <v>9</v>
      </c>
      <c r="D436" t="s">
        <v>10</v>
      </c>
      <c r="E436" t="s">
        <v>11</v>
      </c>
      <c r="F436">
        <v>7</v>
      </c>
      <c r="G436">
        <v>626.91999999999996</v>
      </c>
      <c r="H436">
        <v>4388.4399999999996</v>
      </c>
      <c r="I436">
        <f t="shared" si="24"/>
        <v>1</v>
      </c>
      <c r="J436" t="str">
        <f t="shared" si="25"/>
        <v>Jan</v>
      </c>
      <c r="K436">
        <f t="shared" si="26"/>
        <v>6</v>
      </c>
      <c r="L436" t="str">
        <f t="shared" si="27"/>
        <v>Fri</v>
      </c>
    </row>
    <row r="437" spans="1:12" x14ac:dyDescent="0.25">
      <c r="A437" s="1">
        <v>45696</v>
      </c>
      <c r="B437" t="s">
        <v>23</v>
      </c>
      <c r="C437" t="s">
        <v>13</v>
      </c>
      <c r="D437" t="s">
        <v>17</v>
      </c>
      <c r="E437" t="s">
        <v>15</v>
      </c>
      <c r="F437">
        <v>1</v>
      </c>
      <c r="G437">
        <v>747.14</v>
      </c>
      <c r="H437">
        <v>747.14</v>
      </c>
      <c r="I437">
        <f t="shared" si="24"/>
        <v>2</v>
      </c>
      <c r="J437" t="str">
        <f t="shared" si="25"/>
        <v>Feb</v>
      </c>
      <c r="K437">
        <f t="shared" si="26"/>
        <v>7</v>
      </c>
      <c r="L437" t="str">
        <f t="shared" si="27"/>
        <v>Sat</v>
      </c>
    </row>
    <row r="438" spans="1:12" x14ac:dyDescent="0.25">
      <c r="A438" s="1">
        <v>45676</v>
      </c>
      <c r="B438" t="s">
        <v>41</v>
      </c>
      <c r="C438" t="s">
        <v>9</v>
      </c>
      <c r="D438" t="s">
        <v>17</v>
      </c>
      <c r="E438" t="s">
        <v>15</v>
      </c>
      <c r="F438">
        <v>12</v>
      </c>
      <c r="G438">
        <v>662.86</v>
      </c>
      <c r="H438">
        <v>7954.32</v>
      </c>
      <c r="I438">
        <f t="shared" si="24"/>
        <v>1</v>
      </c>
      <c r="J438" t="str">
        <f t="shared" si="25"/>
        <v>Jan</v>
      </c>
      <c r="K438">
        <f t="shared" si="26"/>
        <v>1</v>
      </c>
      <c r="L438" t="str">
        <f t="shared" si="27"/>
        <v>Sun</v>
      </c>
    </row>
    <row r="439" spans="1:12" x14ac:dyDescent="0.25">
      <c r="A439" s="1">
        <v>45957</v>
      </c>
      <c r="B439" t="s">
        <v>12</v>
      </c>
      <c r="C439" t="s">
        <v>13</v>
      </c>
      <c r="D439" t="s">
        <v>19</v>
      </c>
      <c r="E439" t="s">
        <v>26</v>
      </c>
      <c r="F439">
        <v>5</v>
      </c>
      <c r="G439">
        <v>630.85</v>
      </c>
      <c r="H439">
        <v>3154.25</v>
      </c>
      <c r="I439">
        <f t="shared" si="24"/>
        <v>10</v>
      </c>
      <c r="J439" t="str">
        <f t="shared" si="25"/>
        <v>Oct</v>
      </c>
      <c r="K439">
        <f t="shared" si="26"/>
        <v>2</v>
      </c>
      <c r="L439" t="str">
        <f t="shared" si="27"/>
        <v>Mon</v>
      </c>
    </row>
    <row r="440" spans="1:12" x14ac:dyDescent="0.25">
      <c r="A440" s="1">
        <v>46003</v>
      </c>
      <c r="B440" t="s">
        <v>20</v>
      </c>
      <c r="C440" t="s">
        <v>21</v>
      </c>
      <c r="D440" t="s">
        <v>17</v>
      </c>
      <c r="E440" t="s">
        <v>22</v>
      </c>
      <c r="F440">
        <v>15</v>
      </c>
      <c r="G440">
        <v>1834.44</v>
      </c>
      <c r="H440">
        <v>27516.6</v>
      </c>
      <c r="I440">
        <f t="shared" si="24"/>
        <v>12</v>
      </c>
      <c r="J440" t="str">
        <f t="shared" si="25"/>
        <v>Dec</v>
      </c>
      <c r="K440">
        <f t="shared" si="26"/>
        <v>6</v>
      </c>
      <c r="L440" t="str">
        <f t="shared" si="27"/>
        <v>Fri</v>
      </c>
    </row>
    <row r="441" spans="1:12" x14ac:dyDescent="0.25">
      <c r="A441" s="1">
        <v>45802</v>
      </c>
      <c r="B441" t="s">
        <v>16</v>
      </c>
      <c r="C441" t="s">
        <v>21</v>
      </c>
      <c r="D441" t="s">
        <v>17</v>
      </c>
      <c r="E441" t="s">
        <v>18</v>
      </c>
      <c r="F441">
        <v>18</v>
      </c>
      <c r="G441">
        <v>1888.43</v>
      </c>
      <c r="H441">
        <v>33991.74</v>
      </c>
      <c r="I441">
        <f t="shared" si="24"/>
        <v>5</v>
      </c>
      <c r="J441" t="str">
        <f t="shared" si="25"/>
        <v>May</v>
      </c>
      <c r="K441">
        <f t="shared" si="26"/>
        <v>1</v>
      </c>
      <c r="L441" t="str">
        <f t="shared" si="27"/>
        <v>Sun</v>
      </c>
    </row>
    <row r="442" spans="1:12" x14ac:dyDescent="0.25">
      <c r="A442" s="1">
        <v>45895</v>
      </c>
      <c r="B442" t="s">
        <v>41</v>
      </c>
      <c r="C442" t="s">
        <v>9</v>
      </c>
      <c r="D442" t="s">
        <v>17</v>
      </c>
      <c r="E442" t="s">
        <v>18</v>
      </c>
      <c r="F442">
        <v>19</v>
      </c>
      <c r="G442">
        <v>547.72</v>
      </c>
      <c r="H442">
        <v>10406.68</v>
      </c>
      <c r="I442">
        <f t="shared" si="24"/>
        <v>8</v>
      </c>
      <c r="J442" t="str">
        <f t="shared" si="25"/>
        <v>Aug</v>
      </c>
      <c r="K442">
        <f t="shared" si="26"/>
        <v>3</v>
      </c>
      <c r="L442" t="str">
        <f t="shared" si="27"/>
        <v>Tue</v>
      </c>
    </row>
    <row r="443" spans="1:12" x14ac:dyDescent="0.25">
      <c r="A443" s="1">
        <v>45914</v>
      </c>
      <c r="B443" t="s">
        <v>40</v>
      </c>
      <c r="C443" t="s">
        <v>21</v>
      </c>
      <c r="D443" t="s">
        <v>14</v>
      </c>
      <c r="E443" t="s">
        <v>11</v>
      </c>
      <c r="F443">
        <v>11</v>
      </c>
      <c r="G443">
        <v>5296.08</v>
      </c>
      <c r="H443">
        <v>58256.88</v>
      </c>
      <c r="I443">
        <f t="shared" si="24"/>
        <v>9</v>
      </c>
      <c r="J443" t="str">
        <f t="shared" si="25"/>
        <v>Sep</v>
      </c>
      <c r="K443">
        <f t="shared" si="26"/>
        <v>1</v>
      </c>
      <c r="L443" t="str">
        <f t="shared" si="27"/>
        <v>Sun</v>
      </c>
    </row>
    <row r="444" spans="1:12" x14ac:dyDescent="0.25">
      <c r="A444" s="1">
        <v>45866</v>
      </c>
      <c r="B444" t="s">
        <v>23</v>
      </c>
      <c r="C444" t="s">
        <v>21</v>
      </c>
      <c r="D444" t="s">
        <v>17</v>
      </c>
      <c r="E444" t="s">
        <v>22</v>
      </c>
      <c r="F444">
        <v>7</v>
      </c>
      <c r="G444">
        <v>979.38</v>
      </c>
      <c r="H444">
        <v>6855.66</v>
      </c>
      <c r="I444">
        <f t="shared" si="24"/>
        <v>7</v>
      </c>
      <c r="J444" t="str">
        <f t="shared" si="25"/>
        <v>Jul</v>
      </c>
      <c r="K444">
        <f t="shared" si="26"/>
        <v>2</v>
      </c>
      <c r="L444" t="str">
        <f t="shared" si="27"/>
        <v>Mon</v>
      </c>
    </row>
    <row r="445" spans="1:12" x14ac:dyDescent="0.25">
      <c r="A445" s="1">
        <v>45740</v>
      </c>
      <c r="B445" t="s">
        <v>25</v>
      </c>
      <c r="C445" t="s">
        <v>13</v>
      </c>
      <c r="D445" t="s">
        <v>17</v>
      </c>
      <c r="E445" t="s">
        <v>26</v>
      </c>
      <c r="F445">
        <v>6</v>
      </c>
      <c r="G445">
        <v>4190.9399999999996</v>
      </c>
      <c r="H445">
        <v>25145.64</v>
      </c>
      <c r="I445">
        <f t="shared" si="24"/>
        <v>3</v>
      </c>
      <c r="J445" t="str">
        <f t="shared" si="25"/>
        <v>Mar</v>
      </c>
      <c r="K445">
        <f t="shared" si="26"/>
        <v>2</v>
      </c>
      <c r="L445" t="str">
        <f t="shared" si="27"/>
        <v>Mon</v>
      </c>
    </row>
    <row r="446" spans="1:12" x14ac:dyDescent="0.25">
      <c r="A446" s="1">
        <v>46006</v>
      </c>
      <c r="B446" t="s">
        <v>41</v>
      </c>
      <c r="C446" t="s">
        <v>21</v>
      </c>
      <c r="D446" t="s">
        <v>17</v>
      </c>
      <c r="E446" t="s">
        <v>22</v>
      </c>
      <c r="F446">
        <v>12</v>
      </c>
      <c r="G446">
        <v>526.21</v>
      </c>
      <c r="H446">
        <v>6314.52</v>
      </c>
      <c r="I446">
        <f t="shared" si="24"/>
        <v>12</v>
      </c>
      <c r="J446" t="str">
        <f t="shared" si="25"/>
        <v>Dec</v>
      </c>
      <c r="K446">
        <f t="shared" si="26"/>
        <v>2</v>
      </c>
      <c r="L446" t="str">
        <f t="shared" si="27"/>
        <v>Mon</v>
      </c>
    </row>
    <row r="447" spans="1:12" x14ac:dyDescent="0.25">
      <c r="A447" s="1">
        <v>45977</v>
      </c>
      <c r="B447" t="s">
        <v>20</v>
      </c>
      <c r="C447" t="s">
        <v>9</v>
      </c>
      <c r="D447" t="s">
        <v>10</v>
      </c>
      <c r="E447" t="s">
        <v>26</v>
      </c>
      <c r="F447">
        <v>5</v>
      </c>
      <c r="G447">
        <v>1160.7</v>
      </c>
      <c r="H447">
        <v>5803.5</v>
      </c>
      <c r="I447">
        <f t="shared" si="24"/>
        <v>11</v>
      </c>
      <c r="J447" t="str">
        <f t="shared" si="25"/>
        <v>Nov</v>
      </c>
      <c r="K447">
        <f t="shared" si="26"/>
        <v>1</v>
      </c>
      <c r="L447" t="str">
        <f t="shared" si="27"/>
        <v>Sun</v>
      </c>
    </row>
    <row r="448" spans="1:12" x14ac:dyDescent="0.25">
      <c r="A448" s="1">
        <v>45706</v>
      </c>
      <c r="B448" t="s">
        <v>40</v>
      </c>
      <c r="C448" t="s">
        <v>13</v>
      </c>
      <c r="D448" t="s">
        <v>19</v>
      </c>
      <c r="E448" t="s">
        <v>15</v>
      </c>
      <c r="F448">
        <v>6</v>
      </c>
      <c r="G448">
        <v>6036.81</v>
      </c>
      <c r="H448">
        <v>36220.86</v>
      </c>
      <c r="I448">
        <f t="shared" si="24"/>
        <v>2</v>
      </c>
      <c r="J448" t="str">
        <f t="shared" si="25"/>
        <v>Feb</v>
      </c>
      <c r="K448">
        <f t="shared" si="26"/>
        <v>3</v>
      </c>
      <c r="L448" t="str">
        <f t="shared" si="27"/>
        <v>Tue</v>
      </c>
    </row>
    <row r="449" spans="1:12" x14ac:dyDescent="0.25">
      <c r="A449" s="1">
        <v>45763</v>
      </c>
      <c r="B449" t="s">
        <v>16</v>
      </c>
      <c r="C449" t="s">
        <v>13</v>
      </c>
      <c r="D449" t="s">
        <v>17</v>
      </c>
      <c r="E449" t="s">
        <v>22</v>
      </c>
      <c r="F449">
        <v>6</v>
      </c>
      <c r="G449">
        <v>2933.48</v>
      </c>
      <c r="H449">
        <v>17600.88</v>
      </c>
      <c r="I449">
        <f t="shared" si="24"/>
        <v>4</v>
      </c>
      <c r="J449" t="str">
        <f t="shared" si="25"/>
        <v>Apr</v>
      </c>
      <c r="K449">
        <f t="shared" si="26"/>
        <v>4</v>
      </c>
      <c r="L449" t="str">
        <f t="shared" si="27"/>
        <v>Wed</v>
      </c>
    </row>
    <row r="450" spans="1:12" x14ac:dyDescent="0.25">
      <c r="A450" s="1">
        <v>45844</v>
      </c>
      <c r="B450" t="s">
        <v>16</v>
      </c>
      <c r="C450" t="s">
        <v>13</v>
      </c>
      <c r="D450" t="s">
        <v>10</v>
      </c>
      <c r="E450" t="s">
        <v>18</v>
      </c>
      <c r="F450">
        <v>12</v>
      </c>
      <c r="G450">
        <v>3124.95</v>
      </c>
      <c r="H450">
        <v>37499.4</v>
      </c>
      <c r="I450">
        <f t="shared" ref="I450:I513" si="28">MONTH(A450)</f>
        <v>7</v>
      </c>
      <c r="J450" t="str">
        <f t="shared" ref="J450:J513" si="29">TEXT(A450,"MMM")</f>
        <v>Jul</v>
      </c>
      <c r="K450">
        <f t="shared" ref="K450:K513" si="30">WEEKDAY(A450,1)</f>
        <v>1</v>
      </c>
      <c r="L450" t="str">
        <f t="shared" ref="L450:L513" si="31">TEXT(K450,"DDD")</f>
        <v>Sun</v>
      </c>
    </row>
    <row r="451" spans="1:12" x14ac:dyDescent="0.25">
      <c r="A451" s="1">
        <v>45719</v>
      </c>
      <c r="B451" t="s">
        <v>20</v>
      </c>
      <c r="C451" t="s">
        <v>13</v>
      </c>
      <c r="D451" t="s">
        <v>19</v>
      </c>
      <c r="E451" t="s">
        <v>26</v>
      </c>
      <c r="F451">
        <v>4</v>
      </c>
      <c r="G451">
        <v>1403.68</v>
      </c>
      <c r="H451">
        <v>5614.72</v>
      </c>
      <c r="I451">
        <f t="shared" si="28"/>
        <v>3</v>
      </c>
      <c r="J451" t="str">
        <f t="shared" si="29"/>
        <v>Mar</v>
      </c>
      <c r="K451">
        <f t="shared" si="30"/>
        <v>2</v>
      </c>
      <c r="L451" t="str">
        <f t="shared" si="31"/>
        <v>Mon</v>
      </c>
    </row>
    <row r="452" spans="1:12" x14ac:dyDescent="0.25">
      <c r="A452" s="1">
        <v>45823</v>
      </c>
      <c r="B452" t="s">
        <v>16</v>
      </c>
      <c r="C452" t="s">
        <v>9</v>
      </c>
      <c r="D452" t="s">
        <v>10</v>
      </c>
      <c r="E452" t="s">
        <v>18</v>
      </c>
      <c r="F452">
        <v>5</v>
      </c>
      <c r="G452">
        <v>3085.15</v>
      </c>
      <c r="H452">
        <v>15425.75</v>
      </c>
      <c r="I452">
        <f t="shared" si="28"/>
        <v>6</v>
      </c>
      <c r="J452" t="str">
        <f t="shared" si="29"/>
        <v>Jun</v>
      </c>
      <c r="K452">
        <f t="shared" si="30"/>
        <v>1</v>
      </c>
      <c r="L452" t="str">
        <f t="shared" si="31"/>
        <v>Sun</v>
      </c>
    </row>
    <row r="453" spans="1:12" x14ac:dyDescent="0.25">
      <c r="A453" s="1">
        <v>45849</v>
      </c>
      <c r="B453" t="s">
        <v>8</v>
      </c>
      <c r="C453" t="s">
        <v>13</v>
      </c>
      <c r="D453" t="s">
        <v>17</v>
      </c>
      <c r="E453" t="s">
        <v>26</v>
      </c>
      <c r="F453">
        <v>18</v>
      </c>
      <c r="G453">
        <v>1298.57</v>
      </c>
      <c r="H453">
        <v>23374.26</v>
      </c>
      <c r="I453">
        <f t="shared" si="28"/>
        <v>7</v>
      </c>
      <c r="J453" t="str">
        <f t="shared" si="29"/>
        <v>Jul</v>
      </c>
      <c r="K453">
        <f t="shared" si="30"/>
        <v>6</v>
      </c>
      <c r="L453" t="str">
        <f t="shared" si="31"/>
        <v>Fri</v>
      </c>
    </row>
    <row r="454" spans="1:12" x14ac:dyDescent="0.25">
      <c r="A454" s="1">
        <v>45782</v>
      </c>
      <c r="B454" t="s">
        <v>39</v>
      </c>
      <c r="C454" t="s">
        <v>9</v>
      </c>
      <c r="D454" t="s">
        <v>14</v>
      </c>
      <c r="E454" t="s">
        <v>15</v>
      </c>
      <c r="F454">
        <v>8</v>
      </c>
      <c r="G454">
        <v>13781.34</v>
      </c>
      <c r="H454">
        <v>110250.72</v>
      </c>
      <c r="I454">
        <f t="shared" si="28"/>
        <v>5</v>
      </c>
      <c r="J454" t="str">
        <f t="shared" si="29"/>
        <v>May</v>
      </c>
      <c r="K454">
        <f t="shared" si="30"/>
        <v>2</v>
      </c>
      <c r="L454" t="str">
        <f t="shared" si="31"/>
        <v>Mon</v>
      </c>
    </row>
    <row r="455" spans="1:12" x14ac:dyDescent="0.25">
      <c r="A455" s="1">
        <v>45772</v>
      </c>
      <c r="B455" t="s">
        <v>41</v>
      </c>
      <c r="C455" t="s">
        <v>21</v>
      </c>
      <c r="D455" t="s">
        <v>17</v>
      </c>
      <c r="E455" t="s">
        <v>18</v>
      </c>
      <c r="F455">
        <v>17</v>
      </c>
      <c r="G455">
        <v>470.6</v>
      </c>
      <c r="H455">
        <v>8000.2</v>
      </c>
      <c r="I455">
        <f t="shared" si="28"/>
        <v>4</v>
      </c>
      <c r="J455" t="str">
        <f t="shared" si="29"/>
        <v>Apr</v>
      </c>
      <c r="K455">
        <f t="shared" si="30"/>
        <v>6</v>
      </c>
      <c r="L455" t="str">
        <f t="shared" si="31"/>
        <v>Fri</v>
      </c>
    </row>
    <row r="456" spans="1:12" x14ac:dyDescent="0.25">
      <c r="A456" s="1">
        <v>45981</v>
      </c>
      <c r="B456" t="s">
        <v>41</v>
      </c>
      <c r="C456" t="s">
        <v>13</v>
      </c>
      <c r="D456" t="s">
        <v>10</v>
      </c>
      <c r="E456" t="s">
        <v>11</v>
      </c>
      <c r="F456">
        <v>13</v>
      </c>
      <c r="G456">
        <v>558.30999999999995</v>
      </c>
      <c r="H456">
        <v>7258.03</v>
      </c>
      <c r="I456">
        <f t="shared" si="28"/>
        <v>11</v>
      </c>
      <c r="J456" t="str">
        <f t="shared" si="29"/>
        <v>Nov</v>
      </c>
      <c r="K456">
        <f t="shared" si="30"/>
        <v>5</v>
      </c>
      <c r="L456" t="str">
        <f t="shared" si="31"/>
        <v>Thu</v>
      </c>
    </row>
    <row r="457" spans="1:12" x14ac:dyDescent="0.25">
      <c r="A457" s="1">
        <v>45811</v>
      </c>
      <c r="B457" t="s">
        <v>25</v>
      </c>
      <c r="C457" t="s">
        <v>13</v>
      </c>
      <c r="D457" t="s">
        <v>19</v>
      </c>
      <c r="E457" t="s">
        <v>11</v>
      </c>
      <c r="F457">
        <v>10</v>
      </c>
      <c r="G457">
        <v>3280.41</v>
      </c>
      <c r="H457">
        <v>32804.1</v>
      </c>
      <c r="I457">
        <f t="shared" si="28"/>
        <v>6</v>
      </c>
      <c r="J457" t="str">
        <f t="shared" si="29"/>
        <v>Jun</v>
      </c>
      <c r="K457">
        <f t="shared" si="30"/>
        <v>3</v>
      </c>
      <c r="L457" t="str">
        <f t="shared" si="31"/>
        <v>Tue</v>
      </c>
    </row>
    <row r="458" spans="1:12" x14ac:dyDescent="0.25">
      <c r="A458" s="1">
        <v>45918</v>
      </c>
      <c r="B458" t="s">
        <v>24</v>
      </c>
      <c r="C458" t="s">
        <v>21</v>
      </c>
      <c r="D458" t="s">
        <v>14</v>
      </c>
      <c r="E458" t="s">
        <v>15</v>
      </c>
      <c r="F458">
        <v>5</v>
      </c>
      <c r="G458">
        <v>1273.55</v>
      </c>
      <c r="H458">
        <v>6367.75</v>
      </c>
      <c r="I458">
        <f t="shared" si="28"/>
        <v>9</v>
      </c>
      <c r="J458" t="str">
        <f t="shared" si="29"/>
        <v>Sep</v>
      </c>
      <c r="K458">
        <f t="shared" si="30"/>
        <v>5</v>
      </c>
      <c r="L458" t="str">
        <f t="shared" si="31"/>
        <v>Thu</v>
      </c>
    </row>
    <row r="459" spans="1:12" x14ac:dyDescent="0.25">
      <c r="A459" s="1">
        <v>46013</v>
      </c>
      <c r="B459" t="s">
        <v>23</v>
      </c>
      <c r="C459" t="s">
        <v>13</v>
      </c>
      <c r="D459" t="s">
        <v>14</v>
      </c>
      <c r="E459" t="s">
        <v>18</v>
      </c>
      <c r="F459">
        <v>18</v>
      </c>
      <c r="G459">
        <v>956.82</v>
      </c>
      <c r="H459">
        <v>17222.759999999998</v>
      </c>
      <c r="I459">
        <f t="shared" si="28"/>
        <v>12</v>
      </c>
      <c r="J459" t="str">
        <f t="shared" si="29"/>
        <v>Dec</v>
      </c>
      <c r="K459">
        <f t="shared" si="30"/>
        <v>2</v>
      </c>
      <c r="L459" t="str">
        <f t="shared" si="31"/>
        <v>Mon</v>
      </c>
    </row>
    <row r="460" spans="1:12" x14ac:dyDescent="0.25">
      <c r="A460" s="1">
        <v>45941</v>
      </c>
      <c r="B460" t="s">
        <v>8</v>
      </c>
      <c r="C460" t="s">
        <v>9</v>
      </c>
      <c r="D460" t="s">
        <v>17</v>
      </c>
      <c r="E460" t="s">
        <v>18</v>
      </c>
      <c r="F460">
        <v>5</v>
      </c>
      <c r="G460">
        <v>950.98</v>
      </c>
      <c r="H460">
        <v>4754.8999999999996</v>
      </c>
      <c r="I460">
        <f t="shared" si="28"/>
        <v>10</v>
      </c>
      <c r="J460" t="str">
        <f t="shared" si="29"/>
        <v>Oct</v>
      </c>
      <c r="K460">
        <f t="shared" si="30"/>
        <v>7</v>
      </c>
      <c r="L460" t="str">
        <f t="shared" si="31"/>
        <v>Sat</v>
      </c>
    </row>
    <row r="461" spans="1:12" x14ac:dyDescent="0.25">
      <c r="A461" s="1">
        <v>45961</v>
      </c>
      <c r="B461" t="s">
        <v>16</v>
      </c>
      <c r="C461" t="s">
        <v>9</v>
      </c>
      <c r="D461" t="s">
        <v>14</v>
      </c>
      <c r="E461" t="s">
        <v>15</v>
      </c>
      <c r="F461">
        <v>19</v>
      </c>
      <c r="G461">
        <v>2284.2800000000002</v>
      </c>
      <c r="H461">
        <v>43401.32</v>
      </c>
      <c r="I461">
        <f t="shared" si="28"/>
        <v>10</v>
      </c>
      <c r="J461" t="str">
        <f t="shared" si="29"/>
        <v>Oct</v>
      </c>
      <c r="K461">
        <f t="shared" si="30"/>
        <v>6</v>
      </c>
      <c r="L461" t="str">
        <f t="shared" si="31"/>
        <v>Fri</v>
      </c>
    </row>
    <row r="462" spans="1:12" x14ac:dyDescent="0.25">
      <c r="A462" s="1">
        <v>46010</v>
      </c>
      <c r="B462" t="s">
        <v>23</v>
      </c>
      <c r="C462" t="s">
        <v>21</v>
      </c>
      <c r="D462" t="s">
        <v>17</v>
      </c>
      <c r="E462" t="s">
        <v>15</v>
      </c>
      <c r="F462">
        <v>14</v>
      </c>
      <c r="G462">
        <v>885.15</v>
      </c>
      <c r="H462">
        <v>12392.1</v>
      </c>
      <c r="I462">
        <f t="shared" si="28"/>
        <v>12</v>
      </c>
      <c r="J462" t="str">
        <f t="shared" si="29"/>
        <v>Dec</v>
      </c>
      <c r="K462">
        <f t="shared" si="30"/>
        <v>6</v>
      </c>
      <c r="L462" t="str">
        <f t="shared" si="31"/>
        <v>Fri</v>
      </c>
    </row>
    <row r="463" spans="1:12" x14ac:dyDescent="0.25">
      <c r="A463" s="1">
        <v>45678</v>
      </c>
      <c r="B463" t="s">
        <v>20</v>
      </c>
      <c r="C463" t="s">
        <v>13</v>
      </c>
      <c r="D463" t="s">
        <v>17</v>
      </c>
      <c r="E463" t="s">
        <v>18</v>
      </c>
      <c r="F463">
        <v>3</v>
      </c>
      <c r="G463">
        <v>1185.47</v>
      </c>
      <c r="H463">
        <v>3556.41</v>
      </c>
      <c r="I463">
        <f t="shared" si="28"/>
        <v>1</v>
      </c>
      <c r="J463" t="str">
        <f t="shared" si="29"/>
        <v>Jan</v>
      </c>
      <c r="K463">
        <f t="shared" si="30"/>
        <v>3</v>
      </c>
      <c r="L463" t="str">
        <f t="shared" si="31"/>
        <v>Tue</v>
      </c>
    </row>
    <row r="464" spans="1:12" x14ac:dyDescent="0.25">
      <c r="A464" s="1">
        <v>46010</v>
      </c>
      <c r="B464" t="s">
        <v>8</v>
      </c>
      <c r="C464" t="s">
        <v>13</v>
      </c>
      <c r="D464" t="s">
        <v>17</v>
      </c>
      <c r="E464" t="s">
        <v>22</v>
      </c>
      <c r="F464">
        <v>3</v>
      </c>
      <c r="G464">
        <v>1473.83</v>
      </c>
      <c r="H464">
        <v>4421.49</v>
      </c>
      <c r="I464">
        <f t="shared" si="28"/>
        <v>12</v>
      </c>
      <c r="J464" t="str">
        <f t="shared" si="29"/>
        <v>Dec</v>
      </c>
      <c r="K464">
        <f t="shared" si="30"/>
        <v>6</v>
      </c>
      <c r="L464" t="str">
        <f t="shared" si="31"/>
        <v>Fri</v>
      </c>
    </row>
    <row r="465" spans="1:12" x14ac:dyDescent="0.25">
      <c r="A465" s="1">
        <v>45760</v>
      </c>
      <c r="B465" t="s">
        <v>25</v>
      </c>
      <c r="C465" t="s">
        <v>9</v>
      </c>
      <c r="D465" t="s">
        <v>19</v>
      </c>
      <c r="E465" t="s">
        <v>26</v>
      </c>
      <c r="F465">
        <v>19</v>
      </c>
      <c r="G465">
        <v>2872.76</v>
      </c>
      <c r="H465">
        <v>54582.44</v>
      </c>
      <c r="I465">
        <f t="shared" si="28"/>
        <v>4</v>
      </c>
      <c r="J465" t="str">
        <f t="shared" si="29"/>
        <v>Apr</v>
      </c>
      <c r="K465">
        <f t="shared" si="30"/>
        <v>1</v>
      </c>
      <c r="L465" t="str">
        <f t="shared" si="31"/>
        <v>Sun</v>
      </c>
    </row>
    <row r="466" spans="1:12" x14ac:dyDescent="0.25">
      <c r="A466" s="1">
        <v>45997</v>
      </c>
      <c r="B466" t="s">
        <v>41</v>
      </c>
      <c r="C466" t="s">
        <v>9</v>
      </c>
      <c r="D466" t="s">
        <v>17</v>
      </c>
      <c r="E466" t="s">
        <v>15</v>
      </c>
      <c r="F466">
        <v>4</v>
      </c>
      <c r="G466">
        <v>746.5</v>
      </c>
      <c r="H466">
        <v>2986</v>
      </c>
      <c r="I466">
        <f t="shared" si="28"/>
        <v>12</v>
      </c>
      <c r="J466" t="str">
        <f t="shared" si="29"/>
        <v>Dec</v>
      </c>
      <c r="K466">
        <f t="shared" si="30"/>
        <v>7</v>
      </c>
      <c r="L466" t="str">
        <f t="shared" si="31"/>
        <v>Sat</v>
      </c>
    </row>
    <row r="467" spans="1:12" x14ac:dyDescent="0.25">
      <c r="A467" s="1">
        <v>45720</v>
      </c>
      <c r="B467" t="s">
        <v>24</v>
      </c>
      <c r="C467" t="s">
        <v>21</v>
      </c>
      <c r="D467" t="s">
        <v>10</v>
      </c>
      <c r="E467" t="s">
        <v>22</v>
      </c>
      <c r="F467">
        <v>15</v>
      </c>
      <c r="G467">
        <v>1221.98</v>
      </c>
      <c r="H467">
        <v>18329.7</v>
      </c>
      <c r="I467">
        <f t="shared" si="28"/>
        <v>3</v>
      </c>
      <c r="J467" t="str">
        <f t="shared" si="29"/>
        <v>Mar</v>
      </c>
      <c r="K467">
        <f t="shared" si="30"/>
        <v>3</v>
      </c>
      <c r="L467" t="str">
        <f t="shared" si="31"/>
        <v>Tue</v>
      </c>
    </row>
    <row r="468" spans="1:12" x14ac:dyDescent="0.25">
      <c r="A468" s="1">
        <v>45805</v>
      </c>
      <c r="B468" t="s">
        <v>25</v>
      </c>
      <c r="C468" t="s">
        <v>13</v>
      </c>
      <c r="D468" t="s">
        <v>10</v>
      </c>
      <c r="E468" t="s">
        <v>18</v>
      </c>
      <c r="F468">
        <v>5</v>
      </c>
      <c r="G468">
        <v>4117.84</v>
      </c>
      <c r="H468">
        <v>20589.2</v>
      </c>
      <c r="I468">
        <f t="shared" si="28"/>
        <v>5</v>
      </c>
      <c r="J468" t="str">
        <f t="shared" si="29"/>
        <v>May</v>
      </c>
      <c r="K468">
        <f t="shared" si="30"/>
        <v>4</v>
      </c>
      <c r="L468" t="str">
        <f t="shared" si="31"/>
        <v>Wed</v>
      </c>
    </row>
    <row r="469" spans="1:12" x14ac:dyDescent="0.25">
      <c r="A469" s="1">
        <v>45677</v>
      </c>
      <c r="B469" t="s">
        <v>40</v>
      </c>
      <c r="C469" t="s">
        <v>21</v>
      </c>
      <c r="D469" t="s">
        <v>14</v>
      </c>
      <c r="E469" t="s">
        <v>18</v>
      </c>
      <c r="F469">
        <v>6</v>
      </c>
      <c r="G469">
        <v>3946.39</v>
      </c>
      <c r="H469">
        <v>23678.34</v>
      </c>
      <c r="I469">
        <f t="shared" si="28"/>
        <v>1</v>
      </c>
      <c r="J469" t="str">
        <f t="shared" si="29"/>
        <v>Jan</v>
      </c>
      <c r="K469">
        <f t="shared" si="30"/>
        <v>2</v>
      </c>
      <c r="L469" t="str">
        <f t="shared" si="31"/>
        <v>Mon</v>
      </c>
    </row>
    <row r="470" spans="1:12" x14ac:dyDescent="0.25">
      <c r="A470" s="1">
        <v>45803</v>
      </c>
      <c r="B470" t="s">
        <v>12</v>
      </c>
      <c r="C470" t="s">
        <v>21</v>
      </c>
      <c r="D470" t="s">
        <v>10</v>
      </c>
      <c r="E470" t="s">
        <v>26</v>
      </c>
      <c r="F470">
        <v>4</v>
      </c>
      <c r="G470">
        <v>784.32</v>
      </c>
      <c r="H470">
        <v>3137.28</v>
      </c>
      <c r="I470">
        <f t="shared" si="28"/>
        <v>5</v>
      </c>
      <c r="J470" t="str">
        <f t="shared" si="29"/>
        <v>May</v>
      </c>
      <c r="K470">
        <f t="shared" si="30"/>
        <v>2</v>
      </c>
      <c r="L470" t="str">
        <f t="shared" si="31"/>
        <v>Mon</v>
      </c>
    </row>
    <row r="471" spans="1:12" x14ac:dyDescent="0.25">
      <c r="A471" s="1">
        <v>45872</v>
      </c>
      <c r="B471" t="s">
        <v>20</v>
      </c>
      <c r="C471" t="s">
        <v>13</v>
      </c>
      <c r="D471" t="s">
        <v>10</v>
      </c>
      <c r="E471" t="s">
        <v>11</v>
      </c>
      <c r="F471">
        <v>19</v>
      </c>
      <c r="G471">
        <v>1569.55</v>
      </c>
      <c r="H471">
        <v>29821.45</v>
      </c>
      <c r="I471">
        <f t="shared" si="28"/>
        <v>8</v>
      </c>
      <c r="J471" t="str">
        <f t="shared" si="29"/>
        <v>Aug</v>
      </c>
      <c r="K471">
        <f t="shared" si="30"/>
        <v>1</v>
      </c>
      <c r="L471" t="str">
        <f t="shared" si="31"/>
        <v>Sun</v>
      </c>
    </row>
    <row r="472" spans="1:12" x14ac:dyDescent="0.25">
      <c r="A472" s="1">
        <v>45835</v>
      </c>
      <c r="B472" t="s">
        <v>24</v>
      </c>
      <c r="C472" t="s">
        <v>21</v>
      </c>
      <c r="D472" t="s">
        <v>10</v>
      </c>
      <c r="E472" t="s">
        <v>26</v>
      </c>
      <c r="F472">
        <v>19</v>
      </c>
      <c r="G472">
        <v>1061.27</v>
      </c>
      <c r="H472">
        <v>20164.13</v>
      </c>
      <c r="I472">
        <f t="shared" si="28"/>
        <v>6</v>
      </c>
      <c r="J472" t="str">
        <f t="shared" si="29"/>
        <v>Jun</v>
      </c>
      <c r="K472">
        <f t="shared" si="30"/>
        <v>6</v>
      </c>
      <c r="L472" t="str">
        <f t="shared" si="31"/>
        <v>Fri</v>
      </c>
    </row>
    <row r="473" spans="1:12" x14ac:dyDescent="0.25">
      <c r="A473" s="1">
        <v>45895</v>
      </c>
      <c r="B473" t="s">
        <v>8</v>
      </c>
      <c r="C473" t="s">
        <v>13</v>
      </c>
      <c r="D473" t="s">
        <v>17</v>
      </c>
      <c r="E473" t="s">
        <v>11</v>
      </c>
      <c r="F473">
        <v>16</v>
      </c>
      <c r="G473">
        <v>1557.21</v>
      </c>
      <c r="H473">
        <v>24915.360000000001</v>
      </c>
      <c r="I473">
        <f t="shared" si="28"/>
        <v>8</v>
      </c>
      <c r="J473" t="str">
        <f t="shared" si="29"/>
        <v>Aug</v>
      </c>
      <c r="K473">
        <f t="shared" si="30"/>
        <v>3</v>
      </c>
      <c r="L473" t="str">
        <f t="shared" si="31"/>
        <v>Tue</v>
      </c>
    </row>
    <row r="474" spans="1:12" x14ac:dyDescent="0.25">
      <c r="A474" s="1">
        <v>45984</v>
      </c>
      <c r="B474" t="s">
        <v>8</v>
      </c>
      <c r="C474" t="s">
        <v>9</v>
      </c>
      <c r="D474" t="s">
        <v>17</v>
      </c>
      <c r="E474" t="s">
        <v>22</v>
      </c>
      <c r="F474">
        <v>17</v>
      </c>
      <c r="G474">
        <v>1054.8699999999999</v>
      </c>
      <c r="H474">
        <v>17932.79</v>
      </c>
      <c r="I474">
        <f t="shared" si="28"/>
        <v>11</v>
      </c>
      <c r="J474" t="str">
        <f t="shared" si="29"/>
        <v>Nov</v>
      </c>
      <c r="K474">
        <f t="shared" si="30"/>
        <v>1</v>
      </c>
      <c r="L474" t="str">
        <f t="shared" si="31"/>
        <v>Sun</v>
      </c>
    </row>
    <row r="475" spans="1:12" x14ac:dyDescent="0.25">
      <c r="A475" s="1">
        <v>45984</v>
      </c>
      <c r="B475" t="s">
        <v>23</v>
      </c>
      <c r="C475" t="s">
        <v>13</v>
      </c>
      <c r="D475" t="s">
        <v>14</v>
      </c>
      <c r="E475" t="s">
        <v>11</v>
      </c>
      <c r="F475">
        <v>5</v>
      </c>
      <c r="G475">
        <v>805.01</v>
      </c>
      <c r="H475">
        <v>4025.05</v>
      </c>
      <c r="I475">
        <f t="shared" si="28"/>
        <v>11</v>
      </c>
      <c r="J475" t="str">
        <f t="shared" si="29"/>
        <v>Nov</v>
      </c>
      <c r="K475">
        <f t="shared" si="30"/>
        <v>1</v>
      </c>
      <c r="L475" t="str">
        <f t="shared" si="31"/>
        <v>Sun</v>
      </c>
    </row>
    <row r="476" spans="1:12" x14ac:dyDescent="0.25">
      <c r="A476" s="1">
        <v>45845</v>
      </c>
      <c r="B476" t="s">
        <v>20</v>
      </c>
      <c r="C476" t="s">
        <v>21</v>
      </c>
      <c r="D476" t="s">
        <v>19</v>
      </c>
      <c r="E476" t="s">
        <v>15</v>
      </c>
      <c r="F476">
        <v>11</v>
      </c>
      <c r="G476">
        <v>1834.84</v>
      </c>
      <c r="H476">
        <v>20183.240000000002</v>
      </c>
      <c r="I476">
        <f t="shared" si="28"/>
        <v>7</v>
      </c>
      <c r="J476" t="str">
        <f t="shared" si="29"/>
        <v>Jul</v>
      </c>
      <c r="K476">
        <f t="shared" si="30"/>
        <v>2</v>
      </c>
      <c r="L476" t="str">
        <f t="shared" si="31"/>
        <v>Mon</v>
      </c>
    </row>
    <row r="477" spans="1:12" x14ac:dyDescent="0.25">
      <c r="A477" s="1">
        <v>45954</v>
      </c>
      <c r="B477" t="s">
        <v>24</v>
      </c>
      <c r="C477" t="s">
        <v>21</v>
      </c>
      <c r="D477" t="s">
        <v>17</v>
      </c>
      <c r="E477" t="s">
        <v>11</v>
      </c>
      <c r="F477">
        <v>15</v>
      </c>
      <c r="G477">
        <v>1294.33</v>
      </c>
      <c r="H477">
        <v>19414.95</v>
      </c>
      <c r="I477">
        <f t="shared" si="28"/>
        <v>10</v>
      </c>
      <c r="J477" t="str">
        <f t="shared" si="29"/>
        <v>Oct</v>
      </c>
      <c r="K477">
        <f t="shared" si="30"/>
        <v>6</v>
      </c>
      <c r="L477" t="str">
        <f t="shared" si="31"/>
        <v>Fri</v>
      </c>
    </row>
    <row r="478" spans="1:12" x14ac:dyDescent="0.25">
      <c r="A478" s="1">
        <v>45920</v>
      </c>
      <c r="B478" t="s">
        <v>12</v>
      </c>
      <c r="C478" t="s">
        <v>9</v>
      </c>
      <c r="D478" t="s">
        <v>19</v>
      </c>
      <c r="E478" t="s">
        <v>11</v>
      </c>
      <c r="F478">
        <v>1</v>
      </c>
      <c r="G478">
        <v>814.56</v>
      </c>
      <c r="H478">
        <v>814.56</v>
      </c>
      <c r="I478">
        <f t="shared" si="28"/>
        <v>9</v>
      </c>
      <c r="J478" t="str">
        <f t="shared" si="29"/>
        <v>Sep</v>
      </c>
      <c r="K478">
        <f t="shared" si="30"/>
        <v>7</v>
      </c>
      <c r="L478" t="str">
        <f t="shared" si="31"/>
        <v>Sat</v>
      </c>
    </row>
    <row r="479" spans="1:12" x14ac:dyDescent="0.25">
      <c r="A479" s="1">
        <v>45694</v>
      </c>
      <c r="B479" t="s">
        <v>39</v>
      </c>
      <c r="C479" t="s">
        <v>13</v>
      </c>
      <c r="D479" t="s">
        <v>17</v>
      </c>
      <c r="E479" t="s">
        <v>15</v>
      </c>
      <c r="F479">
        <v>8</v>
      </c>
      <c r="G479">
        <v>18933.82</v>
      </c>
      <c r="H479">
        <v>151470.56</v>
      </c>
      <c r="I479">
        <f t="shared" si="28"/>
        <v>2</v>
      </c>
      <c r="J479" t="str">
        <f t="shared" si="29"/>
        <v>Feb</v>
      </c>
      <c r="K479">
        <f t="shared" si="30"/>
        <v>5</v>
      </c>
      <c r="L479" t="str">
        <f t="shared" si="31"/>
        <v>Thu</v>
      </c>
    </row>
    <row r="480" spans="1:12" x14ac:dyDescent="0.25">
      <c r="A480" s="1">
        <v>45844</v>
      </c>
      <c r="B480" t="s">
        <v>40</v>
      </c>
      <c r="C480" t="s">
        <v>13</v>
      </c>
      <c r="D480" t="s">
        <v>17</v>
      </c>
      <c r="E480" t="s">
        <v>18</v>
      </c>
      <c r="F480">
        <v>3</v>
      </c>
      <c r="G480">
        <v>5340.81</v>
      </c>
      <c r="H480">
        <v>16022.43</v>
      </c>
      <c r="I480">
        <f t="shared" si="28"/>
        <v>7</v>
      </c>
      <c r="J480" t="str">
        <f t="shared" si="29"/>
        <v>Jul</v>
      </c>
      <c r="K480">
        <f t="shared" si="30"/>
        <v>1</v>
      </c>
      <c r="L480" t="str">
        <f t="shared" si="31"/>
        <v>Sun</v>
      </c>
    </row>
    <row r="481" spans="1:12" x14ac:dyDescent="0.25">
      <c r="A481" s="1">
        <v>45760</v>
      </c>
      <c r="B481" t="s">
        <v>20</v>
      </c>
      <c r="C481" t="s">
        <v>9</v>
      </c>
      <c r="D481" t="s">
        <v>14</v>
      </c>
      <c r="E481" t="s">
        <v>18</v>
      </c>
      <c r="F481">
        <v>6</v>
      </c>
      <c r="G481">
        <v>1325.52</v>
      </c>
      <c r="H481">
        <v>7953.12</v>
      </c>
      <c r="I481">
        <f t="shared" si="28"/>
        <v>4</v>
      </c>
      <c r="J481" t="str">
        <f t="shared" si="29"/>
        <v>Apr</v>
      </c>
      <c r="K481">
        <f t="shared" si="30"/>
        <v>1</v>
      </c>
      <c r="L481" t="str">
        <f t="shared" si="31"/>
        <v>Sun</v>
      </c>
    </row>
    <row r="482" spans="1:12" x14ac:dyDescent="0.25">
      <c r="A482" s="1">
        <v>45728</v>
      </c>
      <c r="B482" t="s">
        <v>23</v>
      </c>
      <c r="C482" t="s">
        <v>21</v>
      </c>
      <c r="D482" t="s">
        <v>19</v>
      </c>
      <c r="E482" t="s">
        <v>15</v>
      </c>
      <c r="F482">
        <v>13</v>
      </c>
      <c r="G482">
        <v>894.92</v>
      </c>
      <c r="H482">
        <v>11633.96</v>
      </c>
      <c r="I482">
        <f t="shared" si="28"/>
        <v>3</v>
      </c>
      <c r="J482" t="str">
        <f t="shared" si="29"/>
        <v>Mar</v>
      </c>
      <c r="K482">
        <f t="shared" si="30"/>
        <v>4</v>
      </c>
      <c r="L482" t="str">
        <f t="shared" si="31"/>
        <v>Wed</v>
      </c>
    </row>
    <row r="483" spans="1:12" x14ac:dyDescent="0.25">
      <c r="A483" s="1">
        <v>45702</v>
      </c>
      <c r="B483" t="s">
        <v>23</v>
      </c>
      <c r="C483" t="s">
        <v>13</v>
      </c>
      <c r="D483" t="s">
        <v>14</v>
      </c>
      <c r="E483" t="s">
        <v>26</v>
      </c>
      <c r="F483">
        <v>8</v>
      </c>
      <c r="G483">
        <v>614.21</v>
      </c>
      <c r="H483">
        <v>4913.68</v>
      </c>
      <c r="I483">
        <f t="shared" si="28"/>
        <v>2</v>
      </c>
      <c r="J483" t="str">
        <f t="shared" si="29"/>
        <v>Feb</v>
      </c>
      <c r="K483">
        <f t="shared" si="30"/>
        <v>6</v>
      </c>
      <c r="L483" t="str">
        <f t="shared" si="31"/>
        <v>Fri</v>
      </c>
    </row>
    <row r="484" spans="1:12" x14ac:dyDescent="0.25">
      <c r="A484" s="1">
        <v>45818</v>
      </c>
      <c r="B484" t="s">
        <v>12</v>
      </c>
      <c r="C484" t="s">
        <v>21</v>
      </c>
      <c r="D484" t="s">
        <v>19</v>
      </c>
      <c r="E484" t="s">
        <v>26</v>
      </c>
      <c r="F484">
        <v>2</v>
      </c>
      <c r="G484">
        <v>1013.46</v>
      </c>
      <c r="H484">
        <v>2026.92</v>
      </c>
      <c r="I484">
        <f t="shared" si="28"/>
        <v>6</v>
      </c>
      <c r="J484" t="str">
        <f t="shared" si="29"/>
        <v>Jun</v>
      </c>
      <c r="K484">
        <f t="shared" si="30"/>
        <v>3</v>
      </c>
      <c r="L484" t="str">
        <f t="shared" si="31"/>
        <v>Tue</v>
      </c>
    </row>
    <row r="485" spans="1:12" x14ac:dyDescent="0.25">
      <c r="A485" s="1">
        <v>45840</v>
      </c>
      <c r="B485" t="s">
        <v>16</v>
      </c>
      <c r="C485" t="s">
        <v>13</v>
      </c>
      <c r="D485" t="s">
        <v>10</v>
      </c>
      <c r="E485" t="s">
        <v>11</v>
      </c>
      <c r="F485">
        <v>7</v>
      </c>
      <c r="G485">
        <v>2464.66</v>
      </c>
      <c r="H485">
        <v>17252.62</v>
      </c>
      <c r="I485">
        <f t="shared" si="28"/>
        <v>7</v>
      </c>
      <c r="J485" t="str">
        <f t="shared" si="29"/>
        <v>Jul</v>
      </c>
      <c r="K485">
        <f t="shared" si="30"/>
        <v>4</v>
      </c>
      <c r="L485" t="str">
        <f t="shared" si="31"/>
        <v>Wed</v>
      </c>
    </row>
    <row r="486" spans="1:12" x14ac:dyDescent="0.25">
      <c r="A486" s="1">
        <v>45977</v>
      </c>
      <c r="B486" t="s">
        <v>39</v>
      </c>
      <c r="C486" t="s">
        <v>9</v>
      </c>
      <c r="D486" t="s">
        <v>14</v>
      </c>
      <c r="E486" t="s">
        <v>15</v>
      </c>
      <c r="F486">
        <v>13</v>
      </c>
      <c r="G486">
        <v>15931.44</v>
      </c>
      <c r="H486">
        <v>207108.72</v>
      </c>
      <c r="I486">
        <f t="shared" si="28"/>
        <v>11</v>
      </c>
      <c r="J486" t="str">
        <f t="shared" si="29"/>
        <v>Nov</v>
      </c>
      <c r="K486">
        <f t="shared" si="30"/>
        <v>1</v>
      </c>
      <c r="L486" t="str">
        <f t="shared" si="31"/>
        <v>Sun</v>
      </c>
    </row>
    <row r="487" spans="1:12" x14ac:dyDescent="0.25">
      <c r="A487" s="1">
        <v>45710</v>
      </c>
      <c r="B487" t="s">
        <v>23</v>
      </c>
      <c r="C487" t="s">
        <v>9</v>
      </c>
      <c r="D487" t="s">
        <v>17</v>
      </c>
      <c r="E487" t="s">
        <v>22</v>
      </c>
      <c r="F487">
        <v>10</v>
      </c>
      <c r="G487">
        <v>841.22</v>
      </c>
      <c r="H487">
        <v>8412.2000000000007</v>
      </c>
      <c r="I487">
        <f t="shared" si="28"/>
        <v>2</v>
      </c>
      <c r="J487" t="str">
        <f t="shared" si="29"/>
        <v>Feb</v>
      </c>
      <c r="K487">
        <f t="shared" si="30"/>
        <v>7</v>
      </c>
      <c r="L487" t="str">
        <f t="shared" si="31"/>
        <v>Sat</v>
      </c>
    </row>
    <row r="488" spans="1:12" x14ac:dyDescent="0.25">
      <c r="A488" s="1">
        <v>45711</v>
      </c>
      <c r="B488" t="s">
        <v>8</v>
      </c>
      <c r="C488" t="s">
        <v>21</v>
      </c>
      <c r="D488" t="s">
        <v>14</v>
      </c>
      <c r="E488" t="s">
        <v>26</v>
      </c>
      <c r="F488">
        <v>14</v>
      </c>
      <c r="G488">
        <v>1432.23</v>
      </c>
      <c r="H488">
        <v>20051.22</v>
      </c>
      <c r="I488">
        <f t="shared" si="28"/>
        <v>2</v>
      </c>
      <c r="J488" t="str">
        <f t="shared" si="29"/>
        <v>Feb</v>
      </c>
      <c r="K488">
        <f t="shared" si="30"/>
        <v>1</v>
      </c>
      <c r="L488" t="str">
        <f t="shared" si="31"/>
        <v>Sun</v>
      </c>
    </row>
    <row r="489" spans="1:12" x14ac:dyDescent="0.25">
      <c r="A489" s="1">
        <v>45991</v>
      </c>
      <c r="B489" t="s">
        <v>25</v>
      </c>
      <c r="C489" t="s">
        <v>21</v>
      </c>
      <c r="D489" t="s">
        <v>10</v>
      </c>
      <c r="E489" t="s">
        <v>18</v>
      </c>
      <c r="F489">
        <v>13</v>
      </c>
      <c r="G489">
        <v>4375.26</v>
      </c>
      <c r="H489">
        <v>56878.38</v>
      </c>
      <c r="I489">
        <f t="shared" si="28"/>
        <v>11</v>
      </c>
      <c r="J489" t="str">
        <f t="shared" si="29"/>
        <v>Nov</v>
      </c>
      <c r="K489">
        <f t="shared" si="30"/>
        <v>1</v>
      </c>
      <c r="L489" t="str">
        <f t="shared" si="31"/>
        <v>Sun</v>
      </c>
    </row>
    <row r="490" spans="1:12" x14ac:dyDescent="0.25">
      <c r="A490" s="1">
        <v>45920</v>
      </c>
      <c r="B490" t="s">
        <v>16</v>
      </c>
      <c r="C490" t="s">
        <v>13</v>
      </c>
      <c r="D490" t="s">
        <v>10</v>
      </c>
      <c r="E490" t="s">
        <v>26</v>
      </c>
      <c r="F490">
        <v>18</v>
      </c>
      <c r="G490">
        <v>2985.67</v>
      </c>
      <c r="H490">
        <v>53742.06</v>
      </c>
      <c r="I490">
        <f t="shared" si="28"/>
        <v>9</v>
      </c>
      <c r="J490" t="str">
        <f t="shared" si="29"/>
        <v>Sep</v>
      </c>
      <c r="K490">
        <f t="shared" si="30"/>
        <v>7</v>
      </c>
      <c r="L490" t="str">
        <f t="shared" si="31"/>
        <v>Sat</v>
      </c>
    </row>
    <row r="491" spans="1:12" x14ac:dyDescent="0.25">
      <c r="A491" s="1">
        <v>45783</v>
      </c>
      <c r="B491" t="s">
        <v>40</v>
      </c>
      <c r="C491" t="s">
        <v>9</v>
      </c>
      <c r="D491" t="s">
        <v>10</v>
      </c>
      <c r="E491" t="s">
        <v>22</v>
      </c>
      <c r="F491">
        <v>17</v>
      </c>
      <c r="G491">
        <v>5033.3900000000003</v>
      </c>
      <c r="H491">
        <v>85567.63</v>
      </c>
      <c r="I491">
        <f t="shared" si="28"/>
        <v>5</v>
      </c>
      <c r="J491" t="str">
        <f t="shared" si="29"/>
        <v>May</v>
      </c>
      <c r="K491">
        <f t="shared" si="30"/>
        <v>3</v>
      </c>
      <c r="L491" t="str">
        <f t="shared" si="31"/>
        <v>Tue</v>
      </c>
    </row>
    <row r="492" spans="1:12" x14ac:dyDescent="0.25">
      <c r="A492" s="1">
        <v>45810</v>
      </c>
      <c r="B492" t="s">
        <v>16</v>
      </c>
      <c r="C492" t="s">
        <v>21</v>
      </c>
      <c r="D492" t="s">
        <v>14</v>
      </c>
      <c r="E492" t="s">
        <v>18</v>
      </c>
      <c r="F492">
        <v>18</v>
      </c>
      <c r="G492">
        <v>2450.4499999999998</v>
      </c>
      <c r="H492">
        <v>44108.1</v>
      </c>
      <c r="I492">
        <f t="shared" si="28"/>
        <v>6</v>
      </c>
      <c r="J492" t="str">
        <f t="shared" si="29"/>
        <v>Jun</v>
      </c>
      <c r="K492">
        <f t="shared" si="30"/>
        <v>2</v>
      </c>
      <c r="L492" t="str">
        <f t="shared" si="31"/>
        <v>Mon</v>
      </c>
    </row>
    <row r="493" spans="1:12" x14ac:dyDescent="0.25">
      <c r="A493" s="1">
        <v>45981</v>
      </c>
      <c r="B493" t="s">
        <v>40</v>
      </c>
      <c r="C493" t="s">
        <v>9</v>
      </c>
      <c r="D493" t="s">
        <v>19</v>
      </c>
      <c r="E493" t="s">
        <v>11</v>
      </c>
      <c r="F493">
        <v>1</v>
      </c>
      <c r="G493">
        <v>3889.79</v>
      </c>
      <c r="H493">
        <v>3889.79</v>
      </c>
      <c r="I493">
        <f t="shared" si="28"/>
        <v>11</v>
      </c>
      <c r="J493" t="str">
        <f t="shared" si="29"/>
        <v>Nov</v>
      </c>
      <c r="K493">
        <f t="shared" si="30"/>
        <v>5</v>
      </c>
      <c r="L493" t="str">
        <f t="shared" si="31"/>
        <v>Thu</v>
      </c>
    </row>
    <row r="494" spans="1:12" x14ac:dyDescent="0.25">
      <c r="A494" s="1">
        <v>45793</v>
      </c>
      <c r="B494" t="s">
        <v>16</v>
      </c>
      <c r="C494" t="s">
        <v>21</v>
      </c>
      <c r="D494" t="s">
        <v>10</v>
      </c>
      <c r="E494" t="s">
        <v>11</v>
      </c>
      <c r="F494">
        <v>13</v>
      </c>
      <c r="G494">
        <v>2383.58</v>
      </c>
      <c r="H494">
        <v>30986.54</v>
      </c>
      <c r="I494">
        <f t="shared" si="28"/>
        <v>5</v>
      </c>
      <c r="J494" t="str">
        <f t="shared" si="29"/>
        <v>May</v>
      </c>
      <c r="K494">
        <f t="shared" si="30"/>
        <v>6</v>
      </c>
      <c r="L494" t="str">
        <f t="shared" si="31"/>
        <v>Fri</v>
      </c>
    </row>
    <row r="495" spans="1:12" x14ac:dyDescent="0.25">
      <c r="A495" s="1">
        <v>45854</v>
      </c>
      <c r="B495" t="s">
        <v>41</v>
      </c>
      <c r="C495" t="s">
        <v>13</v>
      </c>
      <c r="D495" t="s">
        <v>17</v>
      </c>
      <c r="E495" t="s">
        <v>22</v>
      </c>
      <c r="F495">
        <v>1</v>
      </c>
      <c r="G495">
        <v>754.86</v>
      </c>
      <c r="H495">
        <v>754.86</v>
      </c>
      <c r="I495">
        <f t="shared" si="28"/>
        <v>7</v>
      </c>
      <c r="J495" t="str">
        <f t="shared" si="29"/>
        <v>Jul</v>
      </c>
      <c r="K495">
        <f t="shared" si="30"/>
        <v>4</v>
      </c>
      <c r="L495" t="str">
        <f t="shared" si="31"/>
        <v>Wed</v>
      </c>
    </row>
    <row r="496" spans="1:12" x14ac:dyDescent="0.25">
      <c r="A496" s="1">
        <v>45873</v>
      </c>
      <c r="B496" t="s">
        <v>41</v>
      </c>
      <c r="C496" t="s">
        <v>13</v>
      </c>
      <c r="D496" t="s">
        <v>14</v>
      </c>
      <c r="E496" t="s">
        <v>15</v>
      </c>
      <c r="F496">
        <v>11</v>
      </c>
      <c r="G496">
        <v>659.9</v>
      </c>
      <c r="H496">
        <v>7258.9</v>
      </c>
      <c r="I496">
        <f t="shared" si="28"/>
        <v>8</v>
      </c>
      <c r="J496" t="str">
        <f t="shared" si="29"/>
        <v>Aug</v>
      </c>
      <c r="K496">
        <f t="shared" si="30"/>
        <v>2</v>
      </c>
      <c r="L496" t="str">
        <f t="shared" si="31"/>
        <v>Mon</v>
      </c>
    </row>
    <row r="497" spans="1:12" x14ac:dyDescent="0.25">
      <c r="A497" s="1">
        <v>45681</v>
      </c>
      <c r="B497" t="s">
        <v>39</v>
      </c>
      <c r="C497" t="s">
        <v>13</v>
      </c>
      <c r="D497" t="s">
        <v>17</v>
      </c>
      <c r="E497" t="s">
        <v>22</v>
      </c>
      <c r="F497">
        <v>19</v>
      </c>
      <c r="G497">
        <v>16209.06</v>
      </c>
      <c r="H497">
        <v>307972.14</v>
      </c>
      <c r="I497">
        <f t="shared" si="28"/>
        <v>1</v>
      </c>
      <c r="J497" t="str">
        <f t="shared" si="29"/>
        <v>Jan</v>
      </c>
      <c r="K497">
        <f t="shared" si="30"/>
        <v>6</v>
      </c>
      <c r="L497" t="str">
        <f t="shared" si="31"/>
        <v>Fri</v>
      </c>
    </row>
    <row r="498" spans="1:12" x14ac:dyDescent="0.25">
      <c r="A498" s="1">
        <v>45949</v>
      </c>
      <c r="B498" t="s">
        <v>12</v>
      </c>
      <c r="C498" t="s">
        <v>9</v>
      </c>
      <c r="D498" t="s">
        <v>17</v>
      </c>
      <c r="E498" t="s">
        <v>18</v>
      </c>
      <c r="F498">
        <v>9</v>
      </c>
      <c r="G498">
        <v>887.02</v>
      </c>
      <c r="H498">
        <v>7983.18</v>
      </c>
      <c r="I498">
        <f t="shared" si="28"/>
        <v>10</v>
      </c>
      <c r="J498" t="str">
        <f t="shared" si="29"/>
        <v>Oct</v>
      </c>
      <c r="K498">
        <f t="shared" si="30"/>
        <v>1</v>
      </c>
      <c r="L498" t="str">
        <f t="shared" si="31"/>
        <v>Sun</v>
      </c>
    </row>
    <row r="499" spans="1:12" x14ac:dyDescent="0.25">
      <c r="A499" s="1">
        <v>45802</v>
      </c>
      <c r="B499" t="s">
        <v>23</v>
      </c>
      <c r="C499" t="s">
        <v>9</v>
      </c>
      <c r="D499" t="s">
        <v>19</v>
      </c>
      <c r="E499" t="s">
        <v>15</v>
      </c>
      <c r="F499">
        <v>13</v>
      </c>
      <c r="G499">
        <v>759.92</v>
      </c>
      <c r="H499">
        <v>9878.9599999999991</v>
      </c>
      <c r="I499">
        <f t="shared" si="28"/>
        <v>5</v>
      </c>
      <c r="J499" t="str">
        <f t="shared" si="29"/>
        <v>May</v>
      </c>
      <c r="K499">
        <f t="shared" si="30"/>
        <v>1</v>
      </c>
      <c r="L499" t="str">
        <f t="shared" si="31"/>
        <v>Sun</v>
      </c>
    </row>
    <row r="500" spans="1:12" x14ac:dyDescent="0.25">
      <c r="A500" s="1">
        <v>45756</v>
      </c>
      <c r="B500" t="s">
        <v>16</v>
      </c>
      <c r="C500" t="s">
        <v>9</v>
      </c>
      <c r="D500" t="s">
        <v>17</v>
      </c>
      <c r="E500" t="s">
        <v>11</v>
      </c>
      <c r="F500">
        <v>1</v>
      </c>
      <c r="G500">
        <v>2944.36</v>
      </c>
      <c r="H500">
        <v>2944.36</v>
      </c>
      <c r="I500">
        <f t="shared" si="28"/>
        <v>4</v>
      </c>
      <c r="J500" t="str">
        <f t="shared" si="29"/>
        <v>Apr</v>
      </c>
      <c r="K500">
        <f t="shared" si="30"/>
        <v>4</v>
      </c>
      <c r="L500" t="str">
        <f t="shared" si="31"/>
        <v>Wed</v>
      </c>
    </row>
    <row r="501" spans="1:12" x14ac:dyDescent="0.25">
      <c r="A501" s="1">
        <v>45999</v>
      </c>
      <c r="B501" t="s">
        <v>16</v>
      </c>
      <c r="C501" t="s">
        <v>9</v>
      </c>
      <c r="D501" t="s">
        <v>19</v>
      </c>
      <c r="E501" t="s">
        <v>27</v>
      </c>
      <c r="F501">
        <v>18</v>
      </c>
      <c r="G501">
        <v>2855.64</v>
      </c>
      <c r="H501">
        <v>51401.52</v>
      </c>
      <c r="I501">
        <f t="shared" si="28"/>
        <v>12</v>
      </c>
      <c r="J501" t="str">
        <f t="shared" si="29"/>
        <v>Dec</v>
      </c>
      <c r="K501">
        <f t="shared" si="30"/>
        <v>2</v>
      </c>
      <c r="L501" t="str">
        <f t="shared" si="31"/>
        <v>Mon</v>
      </c>
    </row>
    <row r="502" spans="1:12" x14ac:dyDescent="0.25">
      <c r="A502" s="1">
        <v>45982</v>
      </c>
      <c r="B502" t="s">
        <v>24</v>
      </c>
      <c r="C502" t="s">
        <v>21</v>
      </c>
      <c r="D502" t="s">
        <v>14</v>
      </c>
      <c r="E502" t="s">
        <v>18</v>
      </c>
      <c r="F502">
        <v>4</v>
      </c>
      <c r="G502">
        <v>751.2</v>
      </c>
      <c r="H502">
        <v>3004.8</v>
      </c>
      <c r="I502">
        <f t="shared" si="28"/>
        <v>11</v>
      </c>
      <c r="J502" t="str">
        <f t="shared" si="29"/>
        <v>Nov</v>
      </c>
      <c r="K502">
        <f t="shared" si="30"/>
        <v>6</v>
      </c>
      <c r="L502" t="str">
        <f t="shared" si="31"/>
        <v>Fri</v>
      </c>
    </row>
    <row r="503" spans="1:12" x14ac:dyDescent="0.25">
      <c r="A503" s="1">
        <v>45891</v>
      </c>
      <c r="B503" t="s">
        <v>23</v>
      </c>
      <c r="C503" t="s">
        <v>9</v>
      </c>
      <c r="D503" t="s">
        <v>17</v>
      </c>
      <c r="E503" t="s">
        <v>22</v>
      </c>
      <c r="F503">
        <v>10</v>
      </c>
      <c r="G503">
        <v>821.03</v>
      </c>
      <c r="H503">
        <v>8210.2999999999993</v>
      </c>
      <c r="I503">
        <f t="shared" si="28"/>
        <v>8</v>
      </c>
      <c r="J503" t="str">
        <f t="shared" si="29"/>
        <v>Aug</v>
      </c>
      <c r="K503">
        <f t="shared" si="30"/>
        <v>6</v>
      </c>
      <c r="L503" t="str">
        <f t="shared" si="31"/>
        <v>Fri</v>
      </c>
    </row>
    <row r="504" spans="1:12" x14ac:dyDescent="0.25">
      <c r="A504" s="1">
        <v>45959</v>
      </c>
      <c r="B504" t="s">
        <v>24</v>
      </c>
      <c r="C504" t="s">
        <v>21</v>
      </c>
      <c r="D504" t="s">
        <v>14</v>
      </c>
      <c r="E504" t="s">
        <v>15</v>
      </c>
      <c r="F504">
        <v>5</v>
      </c>
      <c r="G504">
        <v>1246.6400000000001</v>
      </c>
      <c r="H504">
        <v>6233.2</v>
      </c>
      <c r="I504">
        <f t="shared" si="28"/>
        <v>10</v>
      </c>
      <c r="J504" t="str">
        <f t="shared" si="29"/>
        <v>Oct</v>
      </c>
      <c r="K504">
        <f t="shared" si="30"/>
        <v>4</v>
      </c>
      <c r="L504" t="str">
        <f t="shared" si="31"/>
        <v>Wed</v>
      </c>
    </row>
    <row r="505" spans="1:12" x14ac:dyDescent="0.25">
      <c r="A505" s="1">
        <v>45914</v>
      </c>
      <c r="B505" t="s">
        <v>25</v>
      </c>
      <c r="C505" t="s">
        <v>9</v>
      </c>
      <c r="D505" t="s">
        <v>19</v>
      </c>
      <c r="E505" t="s">
        <v>26</v>
      </c>
      <c r="F505">
        <v>3</v>
      </c>
      <c r="G505">
        <v>3485.02</v>
      </c>
      <c r="H505">
        <v>10455.06</v>
      </c>
      <c r="I505">
        <f t="shared" si="28"/>
        <v>9</v>
      </c>
      <c r="J505" t="str">
        <f t="shared" si="29"/>
        <v>Sep</v>
      </c>
      <c r="K505">
        <f t="shared" si="30"/>
        <v>1</v>
      </c>
      <c r="L505" t="str">
        <f t="shared" si="31"/>
        <v>Sun</v>
      </c>
    </row>
    <row r="506" spans="1:12" x14ac:dyDescent="0.25">
      <c r="A506" s="1">
        <v>45767</v>
      </c>
      <c r="B506" t="s">
        <v>25</v>
      </c>
      <c r="C506" t="s">
        <v>9</v>
      </c>
      <c r="D506" t="s">
        <v>19</v>
      </c>
      <c r="E506" t="s">
        <v>27</v>
      </c>
      <c r="F506">
        <v>11</v>
      </c>
      <c r="G506">
        <v>4293.0600000000004</v>
      </c>
      <c r="H506">
        <v>47223.66</v>
      </c>
      <c r="I506">
        <f t="shared" si="28"/>
        <v>4</v>
      </c>
      <c r="J506" t="str">
        <f t="shared" si="29"/>
        <v>Apr</v>
      </c>
      <c r="K506">
        <f t="shared" si="30"/>
        <v>1</v>
      </c>
      <c r="L506" t="str">
        <f t="shared" si="31"/>
        <v>Sun</v>
      </c>
    </row>
    <row r="507" spans="1:12" x14ac:dyDescent="0.25">
      <c r="A507" s="1">
        <v>45844</v>
      </c>
      <c r="B507" t="s">
        <v>12</v>
      </c>
      <c r="C507" t="s">
        <v>21</v>
      </c>
      <c r="D507" t="s">
        <v>17</v>
      </c>
      <c r="E507" t="s">
        <v>18</v>
      </c>
      <c r="F507">
        <v>16</v>
      </c>
      <c r="G507">
        <v>1047.3800000000001</v>
      </c>
      <c r="H507">
        <v>16758.080000000002</v>
      </c>
      <c r="I507">
        <f t="shared" si="28"/>
        <v>7</v>
      </c>
      <c r="J507" t="str">
        <f t="shared" si="29"/>
        <v>Jul</v>
      </c>
      <c r="K507">
        <f t="shared" si="30"/>
        <v>1</v>
      </c>
      <c r="L507" t="str">
        <f t="shared" si="31"/>
        <v>Sun</v>
      </c>
    </row>
    <row r="508" spans="1:12" x14ac:dyDescent="0.25">
      <c r="A508" s="1">
        <v>45760</v>
      </c>
      <c r="B508" t="s">
        <v>12</v>
      </c>
      <c r="C508" t="s">
        <v>13</v>
      </c>
      <c r="D508" t="s">
        <v>14</v>
      </c>
      <c r="E508" t="s">
        <v>15</v>
      </c>
      <c r="F508">
        <v>10</v>
      </c>
      <c r="G508">
        <v>1045.8900000000001</v>
      </c>
      <c r="H508">
        <v>10458.9</v>
      </c>
      <c r="I508">
        <f t="shared" si="28"/>
        <v>4</v>
      </c>
      <c r="J508" t="str">
        <f t="shared" si="29"/>
        <v>Apr</v>
      </c>
      <c r="K508">
        <f t="shared" si="30"/>
        <v>1</v>
      </c>
      <c r="L508" t="str">
        <f t="shared" si="31"/>
        <v>Sun</v>
      </c>
    </row>
    <row r="509" spans="1:12" x14ac:dyDescent="0.25">
      <c r="A509" s="1">
        <v>45878</v>
      </c>
      <c r="B509" t="s">
        <v>40</v>
      </c>
      <c r="C509" t="s">
        <v>21</v>
      </c>
      <c r="D509" t="s">
        <v>17</v>
      </c>
      <c r="E509" t="s">
        <v>15</v>
      </c>
      <c r="F509">
        <v>1</v>
      </c>
      <c r="G509">
        <v>5717.08</v>
      </c>
      <c r="H509">
        <v>5717.08</v>
      </c>
      <c r="I509">
        <f t="shared" si="28"/>
        <v>8</v>
      </c>
      <c r="J509" t="str">
        <f t="shared" si="29"/>
        <v>Aug</v>
      </c>
      <c r="K509">
        <f t="shared" si="30"/>
        <v>7</v>
      </c>
      <c r="L509" t="str">
        <f t="shared" si="31"/>
        <v>Sat</v>
      </c>
    </row>
    <row r="510" spans="1:12" x14ac:dyDescent="0.25">
      <c r="A510" s="1">
        <v>45664</v>
      </c>
      <c r="B510" t="s">
        <v>8</v>
      </c>
      <c r="C510" t="s">
        <v>9</v>
      </c>
      <c r="D510" t="s">
        <v>14</v>
      </c>
      <c r="E510" t="s">
        <v>18</v>
      </c>
      <c r="F510">
        <v>16</v>
      </c>
      <c r="G510">
        <v>1249.03</v>
      </c>
      <c r="H510">
        <v>19984.48</v>
      </c>
      <c r="I510">
        <f t="shared" si="28"/>
        <v>1</v>
      </c>
      <c r="J510" t="str">
        <f t="shared" si="29"/>
        <v>Jan</v>
      </c>
      <c r="K510">
        <f t="shared" si="30"/>
        <v>3</v>
      </c>
      <c r="L510" t="str">
        <f t="shared" si="31"/>
        <v>Tue</v>
      </c>
    </row>
    <row r="511" spans="1:12" x14ac:dyDescent="0.25">
      <c r="A511" s="1">
        <v>45791</v>
      </c>
      <c r="B511" t="s">
        <v>8</v>
      </c>
      <c r="C511" t="s">
        <v>13</v>
      </c>
      <c r="D511" t="s">
        <v>10</v>
      </c>
      <c r="E511" t="s">
        <v>22</v>
      </c>
      <c r="F511">
        <v>11</v>
      </c>
      <c r="G511">
        <v>1437.43</v>
      </c>
      <c r="H511">
        <v>15811.73</v>
      </c>
      <c r="I511">
        <f t="shared" si="28"/>
        <v>5</v>
      </c>
      <c r="J511" t="str">
        <f t="shared" si="29"/>
        <v>May</v>
      </c>
      <c r="K511">
        <f t="shared" si="30"/>
        <v>4</v>
      </c>
      <c r="L511" t="str">
        <f t="shared" si="31"/>
        <v>Wed</v>
      </c>
    </row>
    <row r="512" spans="1:12" x14ac:dyDescent="0.25">
      <c r="A512" s="1">
        <v>45873</v>
      </c>
      <c r="B512" t="s">
        <v>41</v>
      </c>
      <c r="C512" t="s">
        <v>9</v>
      </c>
      <c r="D512" t="s">
        <v>14</v>
      </c>
      <c r="E512" t="s">
        <v>11</v>
      </c>
      <c r="F512">
        <v>4</v>
      </c>
      <c r="G512">
        <v>743.8</v>
      </c>
      <c r="H512">
        <v>2975.2</v>
      </c>
      <c r="I512">
        <f t="shared" si="28"/>
        <v>8</v>
      </c>
      <c r="J512" t="str">
        <f t="shared" si="29"/>
        <v>Aug</v>
      </c>
      <c r="K512">
        <f t="shared" si="30"/>
        <v>2</v>
      </c>
      <c r="L512" t="str">
        <f t="shared" si="31"/>
        <v>Mon</v>
      </c>
    </row>
    <row r="513" spans="1:12" x14ac:dyDescent="0.25">
      <c r="A513" s="1">
        <v>45813</v>
      </c>
      <c r="B513" t="s">
        <v>16</v>
      </c>
      <c r="C513" t="s">
        <v>21</v>
      </c>
      <c r="D513" t="s">
        <v>19</v>
      </c>
      <c r="E513" t="s">
        <v>15</v>
      </c>
      <c r="F513">
        <v>15</v>
      </c>
      <c r="G513">
        <v>1839.57</v>
      </c>
      <c r="H513">
        <v>27593.55</v>
      </c>
      <c r="I513">
        <f t="shared" si="28"/>
        <v>6</v>
      </c>
      <c r="J513" t="str">
        <f t="shared" si="29"/>
        <v>Jun</v>
      </c>
      <c r="K513">
        <f t="shared" si="30"/>
        <v>5</v>
      </c>
      <c r="L513" t="str">
        <f t="shared" si="31"/>
        <v>Thu</v>
      </c>
    </row>
    <row r="514" spans="1:12" x14ac:dyDescent="0.25">
      <c r="A514" s="1">
        <v>45874</v>
      </c>
      <c r="B514" t="s">
        <v>8</v>
      </c>
      <c r="C514" t="s">
        <v>21</v>
      </c>
      <c r="D514" t="s">
        <v>19</v>
      </c>
      <c r="E514" t="s">
        <v>15</v>
      </c>
      <c r="F514">
        <v>5</v>
      </c>
      <c r="G514">
        <v>1222.1300000000001</v>
      </c>
      <c r="H514">
        <v>6110.65</v>
      </c>
      <c r="I514">
        <f t="shared" ref="I514:I577" si="32">MONTH(A514)</f>
        <v>8</v>
      </c>
      <c r="J514" t="str">
        <f t="shared" ref="J514:J577" si="33">TEXT(A514,"MMM")</f>
        <v>Aug</v>
      </c>
      <c r="K514">
        <f t="shared" ref="K514:K577" si="34">WEEKDAY(A514,1)</f>
        <v>3</v>
      </c>
      <c r="L514" t="str">
        <f t="shared" ref="L514:L577" si="35">TEXT(K514,"DDD")</f>
        <v>Tue</v>
      </c>
    </row>
    <row r="515" spans="1:12" x14ac:dyDescent="0.25">
      <c r="A515" s="1">
        <v>45987</v>
      </c>
      <c r="B515" t="s">
        <v>25</v>
      </c>
      <c r="C515" t="s">
        <v>9</v>
      </c>
      <c r="D515" t="s">
        <v>17</v>
      </c>
      <c r="E515" t="s">
        <v>11</v>
      </c>
      <c r="F515">
        <v>12</v>
      </c>
      <c r="G515">
        <v>3751.44</v>
      </c>
      <c r="H515">
        <v>45017.279999999999</v>
      </c>
      <c r="I515">
        <f t="shared" si="32"/>
        <v>11</v>
      </c>
      <c r="J515" t="str">
        <f t="shared" si="33"/>
        <v>Nov</v>
      </c>
      <c r="K515">
        <f t="shared" si="34"/>
        <v>4</v>
      </c>
      <c r="L515" t="str">
        <f t="shared" si="35"/>
        <v>Wed</v>
      </c>
    </row>
    <row r="516" spans="1:12" x14ac:dyDescent="0.25">
      <c r="A516" s="1">
        <v>45683</v>
      </c>
      <c r="B516" t="s">
        <v>40</v>
      </c>
      <c r="C516" t="s">
        <v>21</v>
      </c>
      <c r="D516" t="s">
        <v>10</v>
      </c>
      <c r="E516" t="s">
        <v>22</v>
      </c>
      <c r="F516">
        <v>19</v>
      </c>
      <c r="G516">
        <v>3940.89</v>
      </c>
      <c r="H516">
        <v>74876.91</v>
      </c>
      <c r="I516">
        <f t="shared" si="32"/>
        <v>1</v>
      </c>
      <c r="J516" t="str">
        <f t="shared" si="33"/>
        <v>Jan</v>
      </c>
      <c r="K516">
        <f t="shared" si="34"/>
        <v>1</v>
      </c>
      <c r="L516" t="str">
        <f t="shared" si="35"/>
        <v>Sun</v>
      </c>
    </row>
    <row r="517" spans="1:12" x14ac:dyDescent="0.25">
      <c r="A517" s="1">
        <v>45837</v>
      </c>
      <c r="B517" t="s">
        <v>41</v>
      </c>
      <c r="C517" t="s">
        <v>13</v>
      </c>
      <c r="D517" t="s">
        <v>10</v>
      </c>
      <c r="E517" t="s">
        <v>18</v>
      </c>
      <c r="F517">
        <v>11</v>
      </c>
      <c r="G517">
        <v>513.57000000000005</v>
      </c>
      <c r="H517">
        <v>5649.27</v>
      </c>
      <c r="I517">
        <f t="shared" si="32"/>
        <v>6</v>
      </c>
      <c r="J517" t="str">
        <f t="shared" si="33"/>
        <v>Jun</v>
      </c>
      <c r="K517">
        <f t="shared" si="34"/>
        <v>1</v>
      </c>
      <c r="L517" t="str">
        <f t="shared" si="35"/>
        <v>Sun</v>
      </c>
    </row>
    <row r="518" spans="1:12" x14ac:dyDescent="0.25">
      <c r="A518" s="1">
        <v>45706</v>
      </c>
      <c r="B518" t="s">
        <v>8</v>
      </c>
      <c r="C518" t="s">
        <v>21</v>
      </c>
      <c r="D518" t="s">
        <v>19</v>
      </c>
      <c r="E518" t="s">
        <v>27</v>
      </c>
      <c r="F518">
        <v>15</v>
      </c>
      <c r="G518">
        <v>883.65</v>
      </c>
      <c r="H518">
        <v>13254.75</v>
      </c>
      <c r="I518">
        <f t="shared" si="32"/>
        <v>2</v>
      </c>
      <c r="J518" t="str">
        <f t="shared" si="33"/>
        <v>Feb</v>
      </c>
      <c r="K518">
        <f t="shared" si="34"/>
        <v>3</v>
      </c>
      <c r="L518" t="str">
        <f t="shared" si="35"/>
        <v>Tue</v>
      </c>
    </row>
    <row r="519" spans="1:12" x14ac:dyDescent="0.25">
      <c r="A519" s="1">
        <v>45830</v>
      </c>
      <c r="B519" t="s">
        <v>16</v>
      </c>
      <c r="C519" t="s">
        <v>21</v>
      </c>
      <c r="D519" t="s">
        <v>17</v>
      </c>
      <c r="E519" t="s">
        <v>26</v>
      </c>
      <c r="F519">
        <v>5</v>
      </c>
      <c r="G519">
        <v>2495.9699999999998</v>
      </c>
      <c r="H519">
        <v>12479.85</v>
      </c>
      <c r="I519">
        <f t="shared" si="32"/>
        <v>6</v>
      </c>
      <c r="J519" t="str">
        <f t="shared" si="33"/>
        <v>Jun</v>
      </c>
      <c r="K519">
        <f t="shared" si="34"/>
        <v>1</v>
      </c>
      <c r="L519" t="str">
        <f t="shared" si="35"/>
        <v>Sun</v>
      </c>
    </row>
    <row r="520" spans="1:12" x14ac:dyDescent="0.25">
      <c r="A520" s="1">
        <v>46017</v>
      </c>
      <c r="B520" t="s">
        <v>41</v>
      </c>
      <c r="C520" t="s">
        <v>21</v>
      </c>
      <c r="D520" t="s">
        <v>17</v>
      </c>
      <c r="E520" t="s">
        <v>26</v>
      </c>
      <c r="F520">
        <v>6</v>
      </c>
      <c r="G520">
        <v>610.67999999999995</v>
      </c>
      <c r="H520">
        <v>3664.08</v>
      </c>
      <c r="I520">
        <f t="shared" si="32"/>
        <v>12</v>
      </c>
      <c r="J520" t="str">
        <f t="shared" si="33"/>
        <v>Dec</v>
      </c>
      <c r="K520">
        <f t="shared" si="34"/>
        <v>6</v>
      </c>
      <c r="L520" t="str">
        <f t="shared" si="35"/>
        <v>Fri</v>
      </c>
    </row>
    <row r="521" spans="1:12" x14ac:dyDescent="0.25">
      <c r="A521" s="1">
        <v>45672</v>
      </c>
      <c r="B521" t="s">
        <v>12</v>
      </c>
      <c r="C521" t="s">
        <v>9</v>
      </c>
      <c r="D521" t="s">
        <v>14</v>
      </c>
      <c r="E521" t="s">
        <v>15</v>
      </c>
      <c r="F521">
        <v>6</v>
      </c>
      <c r="G521">
        <v>778.34</v>
      </c>
      <c r="H521">
        <v>4670.04</v>
      </c>
      <c r="I521">
        <f t="shared" si="32"/>
        <v>1</v>
      </c>
      <c r="J521" t="str">
        <f t="shared" si="33"/>
        <v>Jan</v>
      </c>
      <c r="K521">
        <f t="shared" si="34"/>
        <v>4</v>
      </c>
      <c r="L521" t="str">
        <f t="shared" si="35"/>
        <v>Wed</v>
      </c>
    </row>
    <row r="522" spans="1:12" x14ac:dyDescent="0.25">
      <c r="A522" s="1">
        <v>45742</v>
      </c>
      <c r="B522" t="s">
        <v>16</v>
      </c>
      <c r="C522" t="s">
        <v>21</v>
      </c>
      <c r="D522" t="s">
        <v>14</v>
      </c>
      <c r="E522" t="s">
        <v>15</v>
      </c>
      <c r="F522">
        <v>3</v>
      </c>
      <c r="G522">
        <v>1998.62</v>
      </c>
      <c r="H522">
        <v>5995.86</v>
      </c>
      <c r="I522">
        <f t="shared" si="32"/>
        <v>3</v>
      </c>
      <c r="J522" t="str">
        <f t="shared" si="33"/>
        <v>Mar</v>
      </c>
      <c r="K522">
        <f t="shared" si="34"/>
        <v>4</v>
      </c>
      <c r="L522" t="str">
        <f t="shared" si="35"/>
        <v>Wed</v>
      </c>
    </row>
    <row r="523" spans="1:12" x14ac:dyDescent="0.25">
      <c r="A523" s="1">
        <v>45749</v>
      </c>
      <c r="B523" t="s">
        <v>41</v>
      </c>
      <c r="C523" t="s">
        <v>9</v>
      </c>
      <c r="D523" t="s">
        <v>10</v>
      </c>
      <c r="E523" t="s">
        <v>18</v>
      </c>
      <c r="F523">
        <v>1</v>
      </c>
      <c r="G523">
        <v>469.32</v>
      </c>
      <c r="H523">
        <v>469.32</v>
      </c>
      <c r="I523">
        <f t="shared" si="32"/>
        <v>4</v>
      </c>
      <c r="J523" t="str">
        <f t="shared" si="33"/>
        <v>Apr</v>
      </c>
      <c r="K523">
        <f t="shared" si="34"/>
        <v>4</v>
      </c>
      <c r="L523" t="str">
        <f t="shared" si="35"/>
        <v>Wed</v>
      </c>
    </row>
    <row r="524" spans="1:12" x14ac:dyDescent="0.25">
      <c r="A524" s="1">
        <v>45987</v>
      </c>
      <c r="B524" t="s">
        <v>16</v>
      </c>
      <c r="C524" t="s">
        <v>13</v>
      </c>
      <c r="D524" t="s">
        <v>10</v>
      </c>
      <c r="E524" t="s">
        <v>18</v>
      </c>
      <c r="F524">
        <v>12</v>
      </c>
      <c r="G524">
        <v>3190.94</v>
      </c>
      <c r="H524">
        <v>38291.279999999999</v>
      </c>
      <c r="I524">
        <f t="shared" si="32"/>
        <v>11</v>
      </c>
      <c r="J524" t="str">
        <f t="shared" si="33"/>
        <v>Nov</v>
      </c>
      <c r="K524">
        <f t="shared" si="34"/>
        <v>4</v>
      </c>
      <c r="L524" t="str">
        <f t="shared" si="35"/>
        <v>Wed</v>
      </c>
    </row>
    <row r="525" spans="1:12" x14ac:dyDescent="0.25">
      <c r="A525" s="1">
        <v>45928</v>
      </c>
      <c r="B525" t="s">
        <v>8</v>
      </c>
      <c r="C525" t="s">
        <v>13</v>
      </c>
      <c r="D525" t="s">
        <v>19</v>
      </c>
      <c r="E525" t="s">
        <v>11</v>
      </c>
      <c r="F525">
        <v>12</v>
      </c>
      <c r="G525">
        <v>1026.8699999999999</v>
      </c>
      <c r="H525">
        <v>12322.44</v>
      </c>
      <c r="I525">
        <f t="shared" si="32"/>
        <v>9</v>
      </c>
      <c r="J525" t="str">
        <f t="shared" si="33"/>
        <v>Sep</v>
      </c>
      <c r="K525">
        <f t="shared" si="34"/>
        <v>1</v>
      </c>
      <c r="L525" t="str">
        <f t="shared" si="35"/>
        <v>Sun</v>
      </c>
    </row>
    <row r="526" spans="1:12" x14ac:dyDescent="0.25">
      <c r="A526" s="1">
        <v>45745</v>
      </c>
      <c r="B526" t="s">
        <v>16</v>
      </c>
      <c r="C526" t="s">
        <v>13</v>
      </c>
      <c r="D526" t="s">
        <v>10</v>
      </c>
      <c r="E526" t="s">
        <v>26</v>
      </c>
      <c r="F526">
        <v>6</v>
      </c>
      <c r="G526">
        <v>2035.16</v>
      </c>
      <c r="H526">
        <v>12210.96</v>
      </c>
      <c r="I526">
        <f t="shared" si="32"/>
        <v>3</v>
      </c>
      <c r="J526" t="str">
        <f t="shared" si="33"/>
        <v>Mar</v>
      </c>
      <c r="K526">
        <f t="shared" si="34"/>
        <v>7</v>
      </c>
      <c r="L526" t="str">
        <f t="shared" si="35"/>
        <v>Sat</v>
      </c>
    </row>
    <row r="527" spans="1:12" x14ac:dyDescent="0.25">
      <c r="A527" s="1">
        <v>45941</v>
      </c>
      <c r="B527" t="s">
        <v>16</v>
      </c>
      <c r="C527" t="s">
        <v>9</v>
      </c>
      <c r="D527" t="s">
        <v>10</v>
      </c>
      <c r="E527" t="s">
        <v>11</v>
      </c>
      <c r="F527">
        <v>16</v>
      </c>
      <c r="G527">
        <v>3215.96</v>
      </c>
      <c r="H527">
        <v>51455.360000000001</v>
      </c>
      <c r="I527">
        <f t="shared" si="32"/>
        <v>10</v>
      </c>
      <c r="J527" t="str">
        <f t="shared" si="33"/>
        <v>Oct</v>
      </c>
      <c r="K527">
        <f t="shared" si="34"/>
        <v>7</v>
      </c>
      <c r="L527" t="str">
        <f t="shared" si="35"/>
        <v>Sat</v>
      </c>
    </row>
    <row r="528" spans="1:12" x14ac:dyDescent="0.25">
      <c r="A528" s="1">
        <v>45903</v>
      </c>
      <c r="B528" t="s">
        <v>41</v>
      </c>
      <c r="C528" t="s">
        <v>9</v>
      </c>
      <c r="D528" t="s">
        <v>14</v>
      </c>
      <c r="E528" t="s">
        <v>18</v>
      </c>
      <c r="F528">
        <v>15</v>
      </c>
      <c r="G528">
        <v>503.53</v>
      </c>
      <c r="H528">
        <v>7552.95</v>
      </c>
      <c r="I528">
        <f t="shared" si="32"/>
        <v>9</v>
      </c>
      <c r="J528" t="str">
        <f t="shared" si="33"/>
        <v>Sep</v>
      </c>
      <c r="K528">
        <f t="shared" si="34"/>
        <v>4</v>
      </c>
      <c r="L528" t="str">
        <f t="shared" si="35"/>
        <v>Wed</v>
      </c>
    </row>
    <row r="529" spans="1:12" x14ac:dyDescent="0.25">
      <c r="A529" s="1">
        <v>45696</v>
      </c>
      <c r="B529" t="s">
        <v>39</v>
      </c>
      <c r="C529" t="s">
        <v>13</v>
      </c>
      <c r="D529" t="s">
        <v>19</v>
      </c>
      <c r="E529" t="s">
        <v>26</v>
      </c>
      <c r="F529">
        <v>12</v>
      </c>
      <c r="G529">
        <v>10608.93</v>
      </c>
      <c r="H529">
        <v>127307.16</v>
      </c>
      <c r="I529">
        <f t="shared" si="32"/>
        <v>2</v>
      </c>
      <c r="J529" t="str">
        <f t="shared" si="33"/>
        <v>Feb</v>
      </c>
      <c r="K529">
        <f t="shared" si="34"/>
        <v>7</v>
      </c>
      <c r="L529" t="str">
        <f t="shared" si="35"/>
        <v>Sat</v>
      </c>
    </row>
    <row r="530" spans="1:12" x14ac:dyDescent="0.25">
      <c r="A530" s="1">
        <v>45730</v>
      </c>
      <c r="B530" t="s">
        <v>8</v>
      </c>
      <c r="C530" t="s">
        <v>9</v>
      </c>
      <c r="D530" t="s">
        <v>19</v>
      </c>
      <c r="E530" t="s">
        <v>27</v>
      </c>
      <c r="F530">
        <v>10</v>
      </c>
      <c r="G530">
        <v>1419.42</v>
      </c>
      <c r="H530">
        <v>14194.2</v>
      </c>
      <c r="I530">
        <f t="shared" si="32"/>
        <v>3</v>
      </c>
      <c r="J530" t="str">
        <f t="shared" si="33"/>
        <v>Mar</v>
      </c>
      <c r="K530">
        <f t="shared" si="34"/>
        <v>6</v>
      </c>
      <c r="L530" t="str">
        <f t="shared" si="35"/>
        <v>Fri</v>
      </c>
    </row>
    <row r="531" spans="1:12" x14ac:dyDescent="0.25">
      <c r="A531" s="1">
        <v>45872</v>
      </c>
      <c r="B531" t="s">
        <v>12</v>
      </c>
      <c r="C531" t="s">
        <v>21</v>
      </c>
      <c r="D531" t="s">
        <v>10</v>
      </c>
      <c r="E531" t="s">
        <v>11</v>
      </c>
      <c r="F531">
        <v>5</v>
      </c>
      <c r="G531">
        <v>762.74</v>
      </c>
      <c r="H531">
        <v>3813.7</v>
      </c>
      <c r="I531">
        <f t="shared" si="32"/>
        <v>8</v>
      </c>
      <c r="J531" t="str">
        <f t="shared" si="33"/>
        <v>Aug</v>
      </c>
      <c r="K531">
        <f t="shared" si="34"/>
        <v>1</v>
      </c>
      <c r="L531" t="str">
        <f t="shared" si="35"/>
        <v>Sun</v>
      </c>
    </row>
    <row r="532" spans="1:12" x14ac:dyDescent="0.25">
      <c r="A532" s="1">
        <v>46005</v>
      </c>
      <c r="B532" t="s">
        <v>23</v>
      </c>
      <c r="C532" t="s">
        <v>9</v>
      </c>
      <c r="D532" t="s">
        <v>17</v>
      </c>
      <c r="E532" t="s">
        <v>26</v>
      </c>
      <c r="F532">
        <v>4</v>
      </c>
      <c r="G532">
        <v>698.66</v>
      </c>
      <c r="H532">
        <v>2794.64</v>
      </c>
      <c r="I532">
        <f t="shared" si="32"/>
        <v>12</v>
      </c>
      <c r="J532" t="str">
        <f t="shared" si="33"/>
        <v>Dec</v>
      </c>
      <c r="K532">
        <f t="shared" si="34"/>
        <v>1</v>
      </c>
      <c r="L532" t="str">
        <f t="shared" si="35"/>
        <v>Sun</v>
      </c>
    </row>
    <row r="533" spans="1:12" x14ac:dyDescent="0.25">
      <c r="A533" s="1">
        <v>45904</v>
      </c>
      <c r="B533" t="s">
        <v>20</v>
      </c>
      <c r="C533" t="s">
        <v>13</v>
      </c>
      <c r="D533" t="s">
        <v>14</v>
      </c>
      <c r="E533" t="s">
        <v>11</v>
      </c>
      <c r="F533">
        <v>1</v>
      </c>
      <c r="G533">
        <v>1090.42</v>
      </c>
      <c r="H533">
        <v>1090.42</v>
      </c>
      <c r="I533">
        <f t="shared" si="32"/>
        <v>9</v>
      </c>
      <c r="J533" t="str">
        <f t="shared" si="33"/>
        <v>Sep</v>
      </c>
      <c r="K533">
        <f t="shared" si="34"/>
        <v>5</v>
      </c>
      <c r="L533" t="str">
        <f t="shared" si="35"/>
        <v>Thu</v>
      </c>
    </row>
    <row r="534" spans="1:12" x14ac:dyDescent="0.25">
      <c r="A534" s="1">
        <v>45749</v>
      </c>
      <c r="B534" t="s">
        <v>20</v>
      </c>
      <c r="C534" t="s">
        <v>9</v>
      </c>
      <c r="D534" t="s">
        <v>10</v>
      </c>
      <c r="E534" t="s">
        <v>18</v>
      </c>
      <c r="F534">
        <v>3</v>
      </c>
      <c r="G534">
        <v>1101.93</v>
      </c>
      <c r="H534">
        <v>3305.79</v>
      </c>
      <c r="I534">
        <f t="shared" si="32"/>
        <v>4</v>
      </c>
      <c r="J534" t="str">
        <f t="shared" si="33"/>
        <v>Apr</v>
      </c>
      <c r="K534">
        <f t="shared" si="34"/>
        <v>4</v>
      </c>
      <c r="L534" t="str">
        <f t="shared" si="35"/>
        <v>Wed</v>
      </c>
    </row>
    <row r="535" spans="1:12" x14ac:dyDescent="0.25">
      <c r="A535" s="1">
        <v>46015</v>
      </c>
      <c r="B535" t="s">
        <v>12</v>
      </c>
      <c r="C535" t="s">
        <v>21</v>
      </c>
      <c r="D535" t="s">
        <v>17</v>
      </c>
      <c r="E535" t="s">
        <v>26</v>
      </c>
      <c r="F535">
        <v>13</v>
      </c>
      <c r="G535">
        <v>765.54</v>
      </c>
      <c r="H535">
        <v>9952.02</v>
      </c>
      <c r="I535">
        <f t="shared" si="32"/>
        <v>12</v>
      </c>
      <c r="J535" t="str">
        <f t="shared" si="33"/>
        <v>Dec</v>
      </c>
      <c r="K535">
        <f t="shared" si="34"/>
        <v>4</v>
      </c>
      <c r="L535" t="str">
        <f t="shared" si="35"/>
        <v>Wed</v>
      </c>
    </row>
    <row r="536" spans="1:12" x14ac:dyDescent="0.25">
      <c r="A536" s="1">
        <v>45837</v>
      </c>
      <c r="B536" t="s">
        <v>16</v>
      </c>
      <c r="C536" t="s">
        <v>9</v>
      </c>
      <c r="D536" t="s">
        <v>14</v>
      </c>
      <c r="E536" t="s">
        <v>18</v>
      </c>
      <c r="F536">
        <v>13</v>
      </c>
      <c r="G536">
        <v>3211.56</v>
      </c>
      <c r="H536">
        <v>41750.28</v>
      </c>
      <c r="I536">
        <f t="shared" si="32"/>
        <v>6</v>
      </c>
      <c r="J536" t="str">
        <f t="shared" si="33"/>
        <v>Jun</v>
      </c>
      <c r="K536">
        <f t="shared" si="34"/>
        <v>1</v>
      </c>
      <c r="L536" t="str">
        <f t="shared" si="35"/>
        <v>Sun</v>
      </c>
    </row>
    <row r="537" spans="1:12" x14ac:dyDescent="0.25">
      <c r="A537" s="1">
        <v>45999</v>
      </c>
      <c r="B537" t="s">
        <v>12</v>
      </c>
      <c r="C537" t="s">
        <v>13</v>
      </c>
      <c r="D537" t="s">
        <v>10</v>
      </c>
      <c r="E537" t="s">
        <v>22</v>
      </c>
      <c r="F537">
        <v>9</v>
      </c>
      <c r="G537">
        <v>753.49</v>
      </c>
      <c r="H537">
        <v>6781.41</v>
      </c>
      <c r="I537">
        <f t="shared" si="32"/>
        <v>12</v>
      </c>
      <c r="J537" t="str">
        <f t="shared" si="33"/>
        <v>Dec</v>
      </c>
      <c r="K537">
        <f t="shared" si="34"/>
        <v>2</v>
      </c>
      <c r="L537" t="str">
        <f t="shared" si="35"/>
        <v>Mon</v>
      </c>
    </row>
    <row r="538" spans="1:12" x14ac:dyDescent="0.25">
      <c r="A538" s="1">
        <v>45849</v>
      </c>
      <c r="B538" t="s">
        <v>39</v>
      </c>
      <c r="C538" t="s">
        <v>21</v>
      </c>
      <c r="D538" t="s">
        <v>14</v>
      </c>
      <c r="E538" t="s">
        <v>15</v>
      </c>
      <c r="F538">
        <v>9</v>
      </c>
      <c r="G538">
        <v>19054.13</v>
      </c>
      <c r="H538">
        <v>171487.17</v>
      </c>
      <c r="I538">
        <f t="shared" si="32"/>
        <v>7</v>
      </c>
      <c r="J538" t="str">
        <f t="shared" si="33"/>
        <v>Jul</v>
      </c>
      <c r="K538">
        <f t="shared" si="34"/>
        <v>6</v>
      </c>
      <c r="L538" t="str">
        <f t="shared" si="35"/>
        <v>Fri</v>
      </c>
    </row>
    <row r="539" spans="1:12" x14ac:dyDescent="0.25">
      <c r="A539" s="1">
        <v>45853</v>
      </c>
      <c r="B539" t="s">
        <v>41</v>
      </c>
      <c r="C539" t="s">
        <v>13</v>
      </c>
      <c r="D539" t="s">
        <v>17</v>
      </c>
      <c r="E539" t="s">
        <v>11</v>
      </c>
      <c r="F539">
        <v>12</v>
      </c>
      <c r="G539">
        <v>693.16</v>
      </c>
      <c r="H539">
        <v>8317.92</v>
      </c>
      <c r="I539">
        <f t="shared" si="32"/>
        <v>7</v>
      </c>
      <c r="J539" t="str">
        <f t="shared" si="33"/>
        <v>Jul</v>
      </c>
      <c r="K539">
        <f t="shared" si="34"/>
        <v>3</v>
      </c>
      <c r="L539" t="str">
        <f t="shared" si="35"/>
        <v>Tue</v>
      </c>
    </row>
    <row r="540" spans="1:12" x14ac:dyDescent="0.25">
      <c r="A540" s="1">
        <v>45765</v>
      </c>
      <c r="B540" t="s">
        <v>20</v>
      </c>
      <c r="C540" t="s">
        <v>13</v>
      </c>
      <c r="D540" t="s">
        <v>10</v>
      </c>
      <c r="E540" t="s">
        <v>26</v>
      </c>
      <c r="F540">
        <v>8</v>
      </c>
      <c r="G540">
        <v>1410.85</v>
      </c>
      <c r="H540">
        <v>11286.8</v>
      </c>
      <c r="I540">
        <f t="shared" si="32"/>
        <v>4</v>
      </c>
      <c r="J540" t="str">
        <f t="shared" si="33"/>
        <v>Apr</v>
      </c>
      <c r="K540">
        <f t="shared" si="34"/>
        <v>6</v>
      </c>
      <c r="L540" t="str">
        <f t="shared" si="35"/>
        <v>Fri</v>
      </c>
    </row>
    <row r="541" spans="1:12" x14ac:dyDescent="0.25">
      <c r="A541" s="1">
        <v>45788</v>
      </c>
      <c r="B541" t="s">
        <v>20</v>
      </c>
      <c r="C541" t="s">
        <v>21</v>
      </c>
      <c r="D541" t="s">
        <v>19</v>
      </c>
      <c r="E541" t="s">
        <v>26</v>
      </c>
      <c r="F541">
        <v>13</v>
      </c>
      <c r="G541">
        <v>1582.02</v>
      </c>
      <c r="H541">
        <v>20566.259999999998</v>
      </c>
      <c r="I541">
        <f t="shared" si="32"/>
        <v>5</v>
      </c>
      <c r="J541" t="str">
        <f t="shared" si="33"/>
        <v>May</v>
      </c>
      <c r="K541">
        <f t="shared" si="34"/>
        <v>1</v>
      </c>
      <c r="L541" t="str">
        <f t="shared" si="35"/>
        <v>Sun</v>
      </c>
    </row>
    <row r="542" spans="1:12" x14ac:dyDescent="0.25">
      <c r="A542" s="1">
        <v>45698</v>
      </c>
      <c r="B542" t="s">
        <v>23</v>
      </c>
      <c r="C542" t="s">
        <v>13</v>
      </c>
      <c r="D542" t="s">
        <v>14</v>
      </c>
      <c r="E542" t="s">
        <v>18</v>
      </c>
      <c r="F542">
        <v>14</v>
      </c>
      <c r="G542">
        <v>594.16</v>
      </c>
      <c r="H542">
        <v>8318.24</v>
      </c>
      <c r="I542">
        <f t="shared" si="32"/>
        <v>2</v>
      </c>
      <c r="J542" t="str">
        <f t="shared" si="33"/>
        <v>Feb</v>
      </c>
      <c r="K542">
        <f t="shared" si="34"/>
        <v>2</v>
      </c>
      <c r="L542" t="str">
        <f t="shared" si="35"/>
        <v>Mon</v>
      </c>
    </row>
    <row r="543" spans="1:12" x14ac:dyDescent="0.25">
      <c r="A543" s="1">
        <v>45980</v>
      </c>
      <c r="B543" t="s">
        <v>12</v>
      </c>
      <c r="C543" t="s">
        <v>13</v>
      </c>
      <c r="D543" t="s">
        <v>10</v>
      </c>
      <c r="E543" t="s">
        <v>22</v>
      </c>
      <c r="F543">
        <v>1</v>
      </c>
      <c r="G543">
        <v>851.08</v>
      </c>
      <c r="H543">
        <v>851.08</v>
      </c>
      <c r="I543">
        <f t="shared" si="32"/>
        <v>11</v>
      </c>
      <c r="J543" t="str">
        <f t="shared" si="33"/>
        <v>Nov</v>
      </c>
      <c r="K543">
        <f t="shared" si="34"/>
        <v>4</v>
      </c>
      <c r="L543" t="str">
        <f t="shared" si="35"/>
        <v>Wed</v>
      </c>
    </row>
    <row r="544" spans="1:12" x14ac:dyDescent="0.25">
      <c r="A544" s="1">
        <v>45936</v>
      </c>
      <c r="B544" t="s">
        <v>41</v>
      </c>
      <c r="C544" t="s">
        <v>13</v>
      </c>
      <c r="D544" t="s">
        <v>17</v>
      </c>
      <c r="E544" t="s">
        <v>18</v>
      </c>
      <c r="F544">
        <v>2</v>
      </c>
      <c r="G544">
        <v>698.61</v>
      </c>
      <c r="H544">
        <v>1397.22</v>
      </c>
      <c r="I544">
        <f t="shared" si="32"/>
        <v>10</v>
      </c>
      <c r="J544" t="str">
        <f t="shared" si="33"/>
        <v>Oct</v>
      </c>
      <c r="K544">
        <f t="shared" si="34"/>
        <v>2</v>
      </c>
      <c r="L544" t="str">
        <f t="shared" si="35"/>
        <v>Mon</v>
      </c>
    </row>
    <row r="545" spans="1:12" x14ac:dyDescent="0.25">
      <c r="A545" s="1">
        <v>45681</v>
      </c>
      <c r="B545" t="s">
        <v>12</v>
      </c>
      <c r="C545" t="s">
        <v>13</v>
      </c>
      <c r="D545" t="s">
        <v>14</v>
      </c>
      <c r="E545" t="s">
        <v>18</v>
      </c>
      <c r="F545">
        <v>17</v>
      </c>
      <c r="G545">
        <v>921.11</v>
      </c>
      <c r="H545">
        <v>15658.87</v>
      </c>
      <c r="I545">
        <f t="shared" si="32"/>
        <v>1</v>
      </c>
      <c r="J545" t="str">
        <f t="shared" si="33"/>
        <v>Jan</v>
      </c>
      <c r="K545">
        <f t="shared" si="34"/>
        <v>6</v>
      </c>
      <c r="L545" t="str">
        <f t="shared" si="35"/>
        <v>Fri</v>
      </c>
    </row>
    <row r="546" spans="1:12" x14ac:dyDescent="0.25">
      <c r="A546" s="1">
        <v>45904</v>
      </c>
      <c r="B546" t="s">
        <v>8</v>
      </c>
      <c r="C546" t="s">
        <v>13</v>
      </c>
      <c r="D546" t="s">
        <v>17</v>
      </c>
      <c r="E546" t="s">
        <v>15</v>
      </c>
      <c r="F546">
        <v>9</v>
      </c>
      <c r="G546">
        <v>840.01</v>
      </c>
      <c r="H546">
        <v>7560.09</v>
      </c>
      <c r="I546">
        <f t="shared" si="32"/>
        <v>9</v>
      </c>
      <c r="J546" t="str">
        <f t="shared" si="33"/>
        <v>Sep</v>
      </c>
      <c r="K546">
        <f t="shared" si="34"/>
        <v>5</v>
      </c>
      <c r="L546" t="str">
        <f t="shared" si="35"/>
        <v>Thu</v>
      </c>
    </row>
    <row r="547" spans="1:12" x14ac:dyDescent="0.25">
      <c r="A547" s="1">
        <v>45905</v>
      </c>
      <c r="B547" t="s">
        <v>25</v>
      </c>
      <c r="C547" t="s">
        <v>21</v>
      </c>
      <c r="D547" t="s">
        <v>17</v>
      </c>
      <c r="E547" t="s">
        <v>22</v>
      </c>
      <c r="F547">
        <v>10</v>
      </c>
      <c r="G547">
        <v>2871.18</v>
      </c>
      <c r="H547">
        <v>28711.8</v>
      </c>
      <c r="I547">
        <f t="shared" si="32"/>
        <v>9</v>
      </c>
      <c r="J547" t="str">
        <f t="shared" si="33"/>
        <v>Sep</v>
      </c>
      <c r="K547">
        <f t="shared" si="34"/>
        <v>6</v>
      </c>
      <c r="L547" t="str">
        <f t="shared" si="35"/>
        <v>Fri</v>
      </c>
    </row>
    <row r="548" spans="1:12" x14ac:dyDescent="0.25">
      <c r="A548" s="1">
        <v>45759</v>
      </c>
      <c r="B548" t="s">
        <v>25</v>
      </c>
      <c r="C548" t="s">
        <v>9</v>
      </c>
      <c r="D548" t="s">
        <v>17</v>
      </c>
      <c r="E548" t="s">
        <v>18</v>
      </c>
      <c r="F548">
        <v>3</v>
      </c>
      <c r="G548">
        <v>4303.74</v>
      </c>
      <c r="H548">
        <v>12911.22</v>
      </c>
      <c r="I548">
        <f t="shared" si="32"/>
        <v>4</v>
      </c>
      <c r="J548" t="str">
        <f t="shared" si="33"/>
        <v>Apr</v>
      </c>
      <c r="K548">
        <f t="shared" si="34"/>
        <v>7</v>
      </c>
      <c r="L548" t="str">
        <f t="shared" si="35"/>
        <v>Sat</v>
      </c>
    </row>
    <row r="549" spans="1:12" x14ac:dyDescent="0.25">
      <c r="A549" s="1">
        <v>45998</v>
      </c>
      <c r="B549" t="s">
        <v>8</v>
      </c>
      <c r="C549" t="s">
        <v>21</v>
      </c>
      <c r="D549" t="s">
        <v>10</v>
      </c>
      <c r="E549" t="s">
        <v>18</v>
      </c>
      <c r="F549">
        <v>15</v>
      </c>
      <c r="G549">
        <v>1139.48</v>
      </c>
      <c r="H549">
        <v>17092.2</v>
      </c>
      <c r="I549">
        <f t="shared" si="32"/>
        <v>12</v>
      </c>
      <c r="J549" t="str">
        <f t="shared" si="33"/>
        <v>Dec</v>
      </c>
      <c r="K549">
        <f t="shared" si="34"/>
        <v>1</v>
      </c>
      <c r="L549" t="str">
        <f t="shared" si="35"/>
        <v>Sun</v>
      </c>
    </row>
    <row r="550" spans="1:12" x14ac:dyDescent="0.25">
      <c r="A550" s="1">
        <v>45999</v>
      </c>
      <c r="B550" t="s">
        <v>12</v>
      </c>
      <c r="C550" t="s">
        <v>21</v>
      </c>
      <c r="D550" t="s">
        <v>14</v>
      </c>
      <c r="E550" t="s">
        <v>15</v>
      </c>
      <c r="F550">
        <v>16</v>
      </c>
      <c r="G550">
        <v>1071.06</v>
      </c>
      <c r="H550">
        <v>17136.96</v>
      </c>
      <c r="I550">
        <f t="shared" si="32"/>
        <v>12</v>
      </c>
      <c r="J550" t="str">
        <f t="shared" si="33"/>
        <v>Dec</v>
      </c>
      <c r="K550">
        <f t="shared" si="34"/>
        <v>2</v>
      </c>
      <c r="L550" t="str">
        <f t="shared" si="35"/>
        <v>Mon</v>
      </c>
    </row>
    <row r="551" spans="1:12" x14ac:dyDescent="0.25">
      <c r="A551" s="1">
        <v>45862</v>
      </c>
      <c r="B551" t="s">
        <v>40</v>
      </c>
      <c r="C551" t="s">
        <v>21</v>
      </c>
      <c r="D551" t="s">
        <v>19</v>
      </c>
      <c r="E551" t="s">
        <v>11</v>
      </c>
      <c r="F551">
        <v>15</v>
      </c>
      <c r="G551">
        <v>5920.08</v>
      </c>
      <c r="H551">
        <v>88801.2</v>
      </c>
      <c r="I551">
        <f t="shared" si="32"/>
        <v>7</v>
      </c>
      <c r="J551" t="str">
        <f t="shared" si="33"/>
        <v>Jul</v>
      </c>
      <c r="K551">
        <f t="shared" si="34"/>
        <v>5</v>
      </c>
      <c r="L551" t="str">
        <f t="shared" si="35"/>
        <v>Thu</v>
      </c>
    </row>
    <row r="552" spans="1:12" x14ac:dyDescent="0.25">
      <c r="A552" s="1">
        <v>45696</v>
      </c>
      <c r="B552" t="s">
        <v>41</v>
      </c>
      <c r="C552" t="s">
        <v>21</v>
      </c>
      <c r="D552" t="s">
        <v>17</v>
      </c>
      <c r="E552" t="s">
        <v>15</v>
      </c>
      <c r="F552">
        <v>8</v>
      </c>
      <c r="G552">
        <v>657.97</v>
      </c>
      <c r="H552">
        <v>5263.76</v>
      </c>
      <c r="I552">
        <f t="shared" si="32"/>
        <v>2</v>
      </c>
      <c r="J552" t="str">
        <f t="shared" si="33"/>
        <v>Feb</v>
      </c>
      <c r="K552">
        <f t="shared" si="34"/>
        <v>7</v>
      </c>
      <c r="L552" t="str">
        <f t="shared" si="35"/>
        <v>Sat</v>
      </c>
    </row>
    <row r="553" spans="1:12" x14ac:dyDescent="0.25">
      <c r="A553" s="1">
        <v>45716</v>
      </c>
      <c r="B553" t="s">
        <v>20</v>
      </c>
      <c r="C553" t="s">
        <v>13</v>
      </c>
      <c r="D553" t="s">
        <v>14</v>
      </c>
      <c r="E553" t="s">
        <v>26</v>
      </c>
      <c r="F553">
        <v>2</v>
      </c>
      <c r="G553">
        <v>1752.57</v>
      </c>
      <c r="H553">
        <v>3505.14</v>
      </c>
      <c r="I553">
        <f t="shared" si="32"/>
        <v>2</v>
      </c>
      <c r="J553" t="str">
        <f t="shared" si="33"/>
        <v>Feb</v>
      </c>
      <c r="K553">
        <f t="shared" si="34"/>
        <v>6</v>
      </c>
      <c r="L553" t="str">
        <f t="shared" si="35"/>
        <v>Fri</v>
      </c>
    </row>
    <row r="554" spans="1:12" x14ac:dyDescent="0.25">
      <c r="A554" s="1">
        <v>45666</v>
      </c>
      <c r="B554" t="s">
        <v>39</v>
      </c>
      <c r="C554" t="s">
        <v>13</v>
      </c>
      <c r="D554" t="s">
        <v>19</v>
      </c>
      <c r="E554" t="s">
        <v>26</v>
      </c>
      <c r="F554">
        <v>17</v>
      </c>
      <c r="G554">
        <v>15913.98</v>
      </c>
      <c r="H554">
        <v>270537.65999999997</v>
      </c>
      <c r="I554">
        <f t="shared" si="32"/>
        <v>1</v>
      </c>
      <c r="J554" t="str">
        <f t="shared" si="33"/>
        <v>Jan</v>
      </c>
      <c r="K554">
        <f t="shared" si="34"/>
        <v>5</v>
      </c>
      <c r="L554" t="str">
        <f t="shared" si="35"/>
        <v>Thu</v>
      </c>
    </row>
    <row r="555" spans="1:12" x14ac:dyDescent="0.25">
      <c r="A555" s="1">
        <v>45767</v>
      </c>
      <c r="B555" t="s">
        <v>40</v>
      </c>
      <c r="C555" t="s">
        <v>13</v>
      </c>
      <c r="D555" t="s">
        <v>17</v>
      </c>
      <c r="E555" t="s">
        <v>15</v>
      </c>
      <c r="F555">
        <v>6</v>
      </c>
      <c r="G555">
        <v>5842.2</v>
      </c>
      <c r="H555">
        <v>35053.199999999997</v>
      </c>
      <c r="I555">
        <f t="shared" si="32"/>
        <v>4</v>
      </c>
      <c r="J555" t="str">
        <f t="shared" si="33"/>
        <v>Apr</v>
      </c>
      <c r="K555">
        <f t="shared" si="34"/>
        <v>1</v>
      </c>
      <c r="L555" t="str">
        <f t="shared" si="35"/>
        <v>Sun</v>
      </c>
    </row>
    <row r="556" spans="1:12" x14ac:dyDescent="0.25">
      <c r="A556" s="1">
        <v>45847</v>
      </c>
      <c r="B556" t="s">
        <v>40</v>
      </c>
      <c r="C556" t="s">
        <v>13</v>
      </c>
      <c r="D556" t="s">
        <v>19</v>
      </c>
      <c r="E556" t="s">
        <v>15</v>
      </c>
      <c r="F556">
        <v>9</v>
      </c>
      <c r="G556">
        <v>4846.4399999999996</v>
      </c>
      <c r="H556">
        <v>43617.96</v>
      </c>
      <c r="I556">
        <f t="shared" si="32"/>
        <v>7</v>
      </c>
      <c r="J556" t="str">
        <f t="shared" si="33"/>
        <v>Jul</v>
      </c>
      <c r="K556">
        <f t="shared" si="34"/>
        <v>4</v>
      </c>
      <c r="L556" t="str">
        <f t="shared" si="35"/>
        <v>Wed</v>
      </c>
    </row>
    <row r="557" spans="1:12" x14ac:dyDescent="0.25">
      <c r="A557" s="1">
        <v>45850</v>
      </c>
      <c r="B557" t="s">
        <v>41</v>
      </c>
      <c r="C557" t="s">
        <v>13</v>
      </c>
      <c r="D557" t="s">
        <v>19</v>
      </c>
      <c r="E557" t="s">
        <v>11</v>
      </c>
      <c r="F557">
        <v>6</v>
      </c>
      <c r="G557">
        <v>751.56</v>
      </c>
      <c r="H557">
        <v>4509.3599999999997</v>
      </c>
      <c r="I557">
        <f t="shared" si="32"/>
        <v>7</v>
      </c>
      <c r="J557" t="str">
        <f t="shared" si="33"/>
        <v>Jul</v>
      </c>
      <c r="K557">
        <f t="shared" si="34"/>
        <v>7</v>
      </c>
      <c r="L557" t="str">
        <f t="shared" si="35"/>
        <v>Sat</v>
      </c>
    </row>
    <row r="558" spans="1:12" x14ac:dyDescent="0.25">
      <c r="A558" s="1">
        <v>45823</v>
      </c>
      <c r="B558" t="s">
        <v>40</v>
      </c>
      <c r="C558" t="s">
        <v>9</v>
      </c>
      <c r="D558" t="s">
        <v>14</v>
      </c>
      <c r="E558" t="s">
        <v>11</v>
      </c>
      <c r="F558">
        <v>9</v>
      </c>
      <c r="G558">
        <v>4085.72</v>
      </c>
      <c r="H558">
        <v>36771.480000000003</v>
      </c>
      <c r="I558">
        <f t="shared" si="32"/>
        <v>6</v>
      </c>
      <c r="J558" t="str">
        <f t="shared" si="33"/>
        <v>Jun</v>
      </c>
      <c r="K558">
        <f t="shared" si="34"/>
        <v>1</v>
      </c>
      <c r="L558" t="str">
        <f t="shared" si="35"/>
        <v>Sun</v>
      </c>
    </row>
    <row r="559" spans="1:12" x14ac:dyDescent="0.25">
      <c r="A559" s="1">
        <v>45797</v>
      </c>
      <c r="B559" t="s">
        <v>25</v>
      </c>
      <c r="C559" t="s">
        <v>21</v>
      </c>
      <c r="D559" t="s">
        <v>19</v>
      </c>
      <c r="E559" t="s">
        <v>27</v>
      </c>
      <c r="F559">
        <v>3</v>
      </c>
      <c r="G559">
        <v>2699.64</v>
      </c>
      <c r="H559">
        <v>8098.92</v>
      </c>
      <c r="I559">
        <f t="shared" si="32"/>
        <v>5</v>
      </c>
      <c r="J559" t="str">
        <f t="shared" si="33"/>
        <v>May</v>
      </c>
      <c r="K559">
        <f t="shared" si="34"/>
        <v>3</v>
      </c>
      <c r="L559" t="str">
        <f t="shared" si="35"/>
        <v>Tue</v>
      </c>
    </row>
    <row r="560" spans="1:12" x14ac:dyDescent="0.25">
      <c r="A560" s="1">
        <v>45706</v>
      </c>
      <c r="B560" t="s">
        <v>20</v>
      </c>
      <c r="C560" t="s">
        <v>9</v>
      </c>
      <c r="D560" t="s">
        <v>17</v>
      </c>
      <c r="E560" t="s">
        <v>11</v>
      </c>
      <c r="F560">
        <v>15</v>
      </c>
      <c r="G560">
        <v>1506.01</v>
      </c>
      <c r="H560">
        <v>22590.15</v>
      </c>
      <c r="I560">
        <f t="shared" si="32"/>
        <v>2</v>
      </c>
      <c r="J560" t="str">
        <f t="shared" si="33"/>
        <v>Feb</v>
      </c>
      <c r="K560">
        <f t="shared" si="34"/>
        <v>3</v>
      </c>
      <c r="L560" t="str">
        <f t="shared" si="35"/>
        <v>Tue</v>
      </c>
    </row>
    <row r="561" spans="1:12" x14ac:dyDescent="0.25">
      <c r="A561" s="1">
        <v>46008</v>
      </c>
      <c r="B561" t="s">
        <v>8</v>
      </c>
      <c r="C561" t="s">
        <v>21</v>
      </c>
      <c r="D561" t="s">
        <v>17</v>
      </c>
      <c r="E561" t="s">
        <v>11</v>
      </c>
      <c r="F561">
        <v>11</v>
      </c>
      <c r="G561">
        <v>1444.08</v>
      </c>
      <c r="H561">
        <v>15884.88</v>
      </c>
      <c r="I561">
        <f t="shared" si="32"/>
        <v>12</v>
      </c>
      <c r="J561" t="str">
        <f t="shared" si="33"/>
        <v>Dec</v>
      </c>
      <c r="K561">
        <f t="shared" si="34"/>
        <v>4</v>
      </c>
      <c r="L561" t="str">
        <f t="shared" si="35"/>
        <v>Wed</v>
      </c>
    </row>
    <row r="562" spans="1:12" x14ac:dyDescent="0.25">
      <c r="A562" s="1">
        <v>45734</v>
      </c>
      <c r="B562" t="s">
        <v>12</v>
      </c>
      <c r="C562" t="s">
        <v>9</v>
      </c>
      <c r="D562" t="s">
        <v>14</v>
      </c>
      <c r="E562" t="s">
        <v>26</v>
      </c>
      <c r="F562">
        <v>4</v>
      </c>
      <c r="G562">
        <v>931.85</v>
      </c>
      <c r="H562">
        <v>3727.4</v>
      </c>
      <c r="I562">
        <f t="shared" si="32"/>
        <v>3</v>
      </c>
      <c r="J562" t="str">
        <f t="shared" si="33"/>
        <v>Mar</v>
      </c>
      <c r="K562">
        <f t="shared" si="34"/>
        <v>3</v>
      </c>
      <c r="L562" t="str">
        <f t="shared" si="35"/>
        <v>Tue</v>
      </c>
    </row>
    <row r="563" spans="1:12" x14ac:dyDescent="0.25">
      <c r="A563" s="1">
        <v>45995</v>
      </c>
      <c r="B563" t="s">
        <v>25</v>
      </c>
      <c r="C563" t="s">
        <v>9</v>
      </c>
      <c r="D563" t="s">
        <v>17</v>
      </c>
      <c r="E563" t="s">
        <v>22</v>
      </c>
      <c r="F563">
        <v>8</v>
      </c>
      <c r="G563">
        <v>2558.5</v>
      </c>
      <c r="H563">
        <v>20468</v>
      </c>
      <c r="I563">
        <f t="shared" si="32"/>
        <v>12</v>
      </c>
      <c r="J563" t="str">
        <f t="shared" si="33"/>
        <v>Dec</v>
      </c>
      <c r="K563">
        <f t="shared" si="34"/>
        <v>5</v>
      </c>
      <c r="L563" t="str">
        <f t="shared" si="35"/>
        <v>Thu</v>
      </c>
    </row>
    <row r="564" spans="1:12" x14ac:dyDescent="0.25">
      <c r="A564" s="1">
        <v>45849</v>
      </c>
      <c r="B564" t="s">
        <v>24</v>
      </c>
      <c r="C564" t="s">
        <v>13</v>
      </c>
      <c r="D564" t="s">
        <v>19</v>
      </c>
      <c r="E564" t="s">
        <v>15</v>
      </c>
      <c r="F564">
        <v>16</v>
      </c>
      <c r="G564">
        <v>1180</v>
      </c>
      <c r="H564">
        <v>18880</v>
      </c>
      <c r="I564">
        <f t="shared" si="32"/>
        <v>7</v>
      </c>
      <c r="J564" t="str">
        <f t="shared" si="33"/>
        <v>Jul</v>
      </c>
      <c r="K564">
        <f t="shared" si="34"/>
        <v>6</v>
      </c>
      <c r="L564" t="str">
        <f t="shared" si="35"/>
        <v>Fri</v>
      </c>
    </row>
    <row r="565" spans="1:12" x14ac:dyDescent="0.25">
      <c r="A565" s="1">
        <v>45803</v>
      </c>
      <c r="B565" t="s">
        <v>12</v>
      </c>
      <c r="C565" t="s">
        <v>9</v>
      </c>
      <c r="D565" t="s">
        <v>19</v>
      </c>
      <c r="E565" t="s">
        <v>27</v>
      </c>
      <c r="F565">
        <v>12</v>
      </c>
      <c r="G565">
        <v>786.62</v>
      </c>
      <c r="H565">
        <v>9439.44</v>
      </c>
      <c r="I565">
        <f t="shared" si="32"/>
        <v>5</v>
      </c>
      <c r="J565" t="str">
        <f t="shared" si="33"/>
        <v>May</v>
      </c>
      <c r="K565">
        <f t="shared" si="34"/>
        <v>2</v>
      </c>
      <c r="L565" t="str">
        <f t="shared" si="35"/>
        <v>Mon</v>
      </c>
    </row>
    <row r="566" spans="1:12" x14ac:dyDescent="0.25">
      <c r="A566" s="1">
        <v>45679</v>
      </c>
      <c r="B566" t="s">
        <v>23</v>
      </c>
      <c r="C566" t="s">
        <v>9</v>
      </c>
      <c r="D566" t="s">
        <v>17</v>
      </c>
      <c r="E566" t="s">
        <v>11</v>
      </c>
      <c r="F566">
        <v>18</v>
      </c>
      <c r="G566">
        <v>959.76</v>
      </c>
      <c r="H566">
        <v>17275.68</v>
      </c>
      <c r="I566">
        <f t="shared" si="32"/>
        <v>1</v>
      </c>
      <c r="J566" t="str">
        <f t="shared" si="33"/>
        <v>Jan</v>
      </c>
      <c r="K566">
        <f t="shared" si="34"/>
        <v>4</v>
      </c>
      <c r="L566" t="str">
        <f t="shared" si="35"/>
        <v>Wed</v>
      </c>
    </row>
    <row r="567" spans="1:12" x14ac:dyDescent="0.25">
      <c r="A567" s="1">
        <v>45739</v>
      </c>
      <c r="B567" t="s">
        <v>23</v>
      </c>
      <c r="C567" t="s">
        <v>21</v>
      </c>
      <c r="D567" t="s">
        <v>19</v>
      </c>
      <c r="E567" t="s">
        <v>27</v>
      </c>
      <c r="F567">
        <v>1</v>
      </c>
      <c r="G567">
        <v>823.45</v>
      </c>
      <c r="H567">
        <v>823.45</v>
      </c>
      <c r="I567">
        <f t="shared" si="32"/>
        <v>3</v>
      </c>
      <c r="J567" t="str">
        <f t="shared" si="33"/>
        <v>Mar</v>
      </c>
      <c r="K567">
        <f t="shared" si="34"/>
        <v>1</v>
      </c>
      <c r="L567" t="str">
        <f t="shared" si="35"/>
        <v>Sun</v>
      </c>
    </row>
    <row r="568" spans="1:12" x14ac:dyDescent="0.25">
      <c r="A568" s="1">
        <v>45782</v>
      </c>
      <c r="B568" t="s">
        <v>24</v>
      </c>
      <c r="C568" t="s">
        <v>13</v>
      </c>
      <c r="D568" t="s">
        <v>17</v>
      </c>
      <c r="E568" t="s">
        <v>11</v>
      </c>
      <c r="F568">
        <v>12</v>
      </c>
      <c r="G568">
        <v>1072.78</v>
      </c>
      <c r="H568">
        <v>12873.36</v>
      </c>
      <c r="I568">
        <f t="shared" si="32"/>
        <v>5</v>
      </c>
      <c r="J568" t="str">
        <f t="shared" si="33"/>
        <v>May</v>
      </c>
      <c r="K568">
        <f t="shared" si="34"/>
        <v>2</v>
      </c>
      <c r="L568" t="str">
        <f t="shared" si="35"/>
        <v>Mon</v>
      </c>
    </row>
    <row r="569" spans="1:12" x14ac:dyDescent="0.25">
      <c r="A569" s="1">
        <v>45753</v>
      </c>
      <c r="B569" t="s">
        <v>24</v>
      </c>
      <c r="C569" t="s">
        <v>9</v>
      </c>
      <c r="D569" t="s">
        <v>19</v>
      </c>
      <c r="E569" t="s">
        <v>15</v>
      </c>
      <c r="F569">
        <v>1</v>
      </c>
      <c r="G569">
        <v>871.45</v>
      </c>
      <c r="H569">
        <v>871.45</v>
      </c>
      <c r="I569">
        <f t="shared" si="32"/>
        <v>4</v>
      </c>
      <c r="J569" t="str">
        <f t="shared" si="33"/>
        <v>Apr</v>
      </c>
      <c r="K569">
        <f t="shared" si="34"/>
        <v>1</v>
      </c>
      <c r="L569" t="str">
        <f t="shared" si="35"/>
        <v>Sun</v>
      </c>
    </row>
    <row r="570" spans="1:12" x14ac:dyDescent="0.25">
      <c r="A570" s="1">
        <v>45676</v>
      </c>
      <c r="B570" t="s">
        <v>25</v>
      </c>
      <c r="C570" t="s">
        <v>9</v>
      </c>
      <c r="D570" t="s">
        <v>10</v>
      </c>
      <c r="E570" t="s">
        <v>26</v>
      </c>
      <c r="F570">
        <v>15</v>
      </c>
      <c r="G570">
        <v>3251.03</v>
      </c>
      <c r="H570">
        <v>48765.45</v>
      </c>
      <c r="I570">
        <f t="shared" si="32"/>
        <v>1</v>
      </c>
      <c r="J570" t="str">
        <f t="shared" si="33"/>
        <v>Jan</v>
      </c>
      <c r="K570">
        <f t="shared" si="34"/>
        <v>1</v>
      </c>
      <c r="L570" t="str">
        <f t="shared" si="35"/>
        <v>Sun</v>
      </c>
    </row>
    <row r="571" spans="1:12" x14ac:dyDescent="0.25">
      <c r="A571" s="1">
        <v>45945</v>
      </c>
      <c r="B571" t="s">
        <v>8</v>
      </c>
      <c r="C571" t="s">
        <v>21</v>
      </c>
      <c r="D571" t="s">
        <v>10</v>
      </c>
      <c r="E571" t="s">
        <v>11</v>
      </c>
      <c r="F571">
        <v>18</v>
      </c>
      <c r="G571">
        <v>1517.72</v>
      </c>
      <c r="H571">
        <v>27318.959999999999</v>
      </c>
      <c r="I571">
        <f t="shared" si="32"/>
        <v>10</v>
      </c>
      <c r="J571" t="str">
        <f t="shared" si="33"/>
        <v>Oct</v>
      </c>
      <c r="K571">
        <f t="shared" si="34"/>
        <v>4</v>
      </c>
      <c r="L571" t="str">
        <f t="shared" si="35"/>
        <v>Wed</v>
      </c>
    </row>
    <row r="572" spans="1:12" x14ac:dyDescent="0.25">
      <c r="A572" s="1">
        <v>46017</v>
      </c>
      <c r="B572" t="s">
        <v>40</v>
      </c>
      <c r="C572" t="s">
        <v>21</v>
      </c>
      <c r="D572" t="s">
        <v>14</v>
      </c>
      <c r="E572" t="s">
        <v>15</v>
      </c>
      <c r="F572">
        <v>10</v>
      </c>
      <c r="G572">
        <v>4038.09</v>
      </c>
      <c r="H572">
        <v>40380.9</v>
      </c>
      <c r="I572">
        <f t="shared" si="32"/>
        <v>12</v>
      </c>
      <c r="J572" t="str">
        <f t="shared" si="33"/>
        <v>Dec</v>
      </c>
      <c r="K572">
        <f t="shared" si="34"/>
        <v>6</v>
      </c>
      <c r="L572" t="str">
        <f t="shared" si="35"/>
        <v>Fri</v>
      </c>
    </row>
    <row r="573" spans="1:12" x14ac:dyDescent="0.25">
      <c r="A573" s="1">
        <v>45663</v>
      </c>
      <c r="B573" t="s">
        <v>12</v>
      </c>
      <c r="C573" t="s">
        <v>9</v>
      </c>
      <c r="D573" t="s">
        <v>19</v>
      </c>
      <c r="E573" t="s">
        <v>15</v>
      </c>
      <c r="F573">
        <v>5</v>
      </c>
      <c r="G573">
        <v>732.5</v>
      </c>
      <c r="H573">
        <v>3662.5</v>
      </c>
      <c r="I573">
        <f t="shared" si="32"/>
        <v>1</v>
      </c>
      <c r="J573" t="str">
        <f t="shared" si="33"/>
        <v>Jan</v>
      </c>
      <c r="K573">
        <f t="shared" si="34"/>
        <v>2</v>
      </c>
      <c r="L573" t="str">
        <f t="shared" si="35"/>
        <v>Mon</v>
      </c>
    </row>
    <row r="574" spans="1:12" x14ac:dyDescent="0.25">
      <c r="A574" s="1">
        <v>45875</v>
      </c>
      <c r="B574" t="s">
        <v>39</v>
      </c>
      <c r="C574" t="s">
        <v>13</v>
      </c>
      <c r="D574" t="s">
        <v>10</v>
      </c>
      <c r="E574" t="s">
        <v>11</v>
      </c>
      <c r="F574">
        <v>10</v>
      </c>
      <c r="G574">
        <v>15151.11</v>
      </c>
      <c r="H574">
        <v>151511.1</v>
      </c>
      <c r="I574">
        <f t="shared" si="32"/>
        <v>8</v>
      </c>
      <c r="J574" t="str">
        <f t="shared" si="33"/>
        <v>Aug</v>
      </c>
      <c r="K574">
        <f t="shared" si="34"/>
        <v>4</v>
      </c>
      <c r="L574" t="str">
        <f t="shared" si="35"/>
        <v>Wed</v>
      </c>
    </row>
    <row r="575" spans="1:12" x14ac:dyDescent="0.25">
      <c r="A575" s="1">
        <v>45947</v>
      </c>
      <c r="B575" t="s">
        <v>16</v>
      </c>
      <c r="C575" t="s">
        <v>21</v>
      </c>
      <c r="D575" t="s">
        <v>14</v>
      </c>
      <c r="E575" t="s">
        <v>26</v>
      </c>
      <c r="F575">
        <v>11</v>
      </c>
      <c r="G575">
        <v>2643.04</v>
      </c>
      <c r="H575">
        <v>29073.439999999999</v>
      </c>
      <c r="I575">
        <f t="shared" si="32"/>
        <v>10</v>
      </c>
      <c r="J575" t="str">
        <f t="shared" si="33"/>
        <v>Oct</v>
      </c>
      <c r="K575">
        <f t="shared" si="34"/>
        <v>6</v>
      </c>
      <c r="L575" t="str">
        <f t="shared" si="35"/>
        <v>Fri</v>
      </c>
    </row>
    <row r="576" spans="1:12" x14ac:dyDescent="0.25">
      <c r="A576" s="1">
        <v>45875</v>
      </c>
      <c r="B576" t="s">
        <v>25</v>
      </c>
      <c r="C576" t="s">
        <v>13</v>
      </c>
      <c r="D576" t="s">
        <v>17</v>
      </c>
      <c r="E576" t="s">
        <v>18</v>
      </c>
      <c r="F576">
        <v>12</v>
      </c>
      <c r="G576">
        <v>3411.85</v>
      </c>
      <c r="H576">
        <v>40942.199999999997</v>
      </c>
      <c r="I576">
        <f t="shared" si="32"/>
        <v>8</v>
      </c>
      <c r="J576" t="str">
        <f t="shared" si="33"/>
        <v>Aug</v>
      </c>
      <c r="K576">
        <f t="shared" si="34"/>
        <v>4</v>
      </c>
      <c r="L576" t="str">
        <f t="shared" si="35"/>
        <v>Wed</v>
      </c>
    </row>
    <row r="577" spans="1:12" x14ac:dyDescent="0.25">
      <c r="A577" s="1">
        <v>45978</v>
      </c>
      <c r="B577" t="s">
        <v>24</v>
      </c>
      <c r="C577" t="s">
        <v>21</v>
      </c>
      <c r="D577" t="s">
        <v>14</v>
      </c>
      <c r="E577" t="s">
        <v>11</v>
      </c>
      <c r="F577">
        <v>6</v>
      </c>
      <c r="G577">
        <v>850.54</v>
      </c>
      <c r="H577">
        <v>5103.24</v>
      </c>
      <c r="I577">
        <f t="shared" si="32"/>
        <v>11</v>
      </c>
      <c r="J577" t="str">
        <f t="shared" si="33"/>
        <v>Nov</v>
      </c>
      <c r="K577">
        <f t="shared" si="34"/>
        <v>2</v>
      </c>
      <c r="L577" t="str">
        <f t="shared" si="35"/>
        <v>Mon</v>
      </c>
    </row>
    <row r="578" spans="1:12" x14ac:dyDescent="0.25">
      <c r="A578" s="1">
        <v>45922</v>
      </c>
      <c r="B578" t="s">
        <v>40</v>
      </c>
      <c r="C578" t="s">
        <v>9</v>
      </c>
      <c r="D578" t="s">
        <v>19</v>
      </c>
      <c r="E578" t="s">
        <v>15</v>
      </c>
      <c r="F578">
        <v>4</v>
      </c>
      <c r="G578">
        <v>4248.57</v>
      </c>
      <c r="H578">
        <v>16994.28</v>
      </c>
      <c r="I578">
        <f t="shared" ref="I578:I641" si="36">MONTH(A578)</f>
        <v>9</v>
      </c>
      <c r="J578" t="str">
        <f t="shared" ref="J578:J641" si="37">TEXT(A578,"MMM")</f>
        <v>Sep</v>
      </c>
      <c r="K578">
        <f t="shared" ref="K578:K641" si="38">WEEKDAY(A578,1)</f>
        <v>2</v>
      </c>
      <c r="L578" t="str">
        <f t="shared" ref="L578:L641" si="39">TEXT(K578,"DDD")</f>
        <v>Mon</v>
      </c>
    </row>
    <row r="579" spans="1:12" x14ac:dyDescent="0.25">
      <c r="A579" s="1">
        <v>45914</v>
      </c>
      <c r="B579" t="s">
        <v>8</v>
      </c>
      <c r="C579" t="s">
        <v>9</v>
      </c>
      <c r="D579" t="s">
        <v>10</v>
      </c>
      <c r="E579" t="s">
        <v>26</v>
      </c>
      <c r="F579">
        <v>10</v>
      </c>
      <c r="G579">
        <v>1280.83</v>
      </c>
      <c r="H579">
        <v>12808.3</v>
      </c>
      <c r="I579">
        <f t="shared" si="36"/>
        <v>9</v>
      </c>
      <c r="J579" t="str">
        <f t="shared" si="37"/>
        <v>Sep</v>
      </c>
      <c r="K579">
        <f t="shared" si="38"/>
        <v>1</v>
      </c>
      <c r="L579" t="str">
        <f t="shared" si="39"/>
        <v>Sun</v>
      </c>
    </row>
    <row r="580" spans="1:12" x14ac:dyDescent="0.25">
      <c r="A580" s="1">
        <v>45971</v>
      </c>
      <c r="B580" t="s">
        <v>25</v>
      </c>
      <c r="C580" t="s">
        <v>13</v>
      </c>
      <c r="D580" t="s">
        <v>19</v>
      </c>
      <c r="E580" t="s">
        <v>15</v>
      </c>
      <c r="F580">
        <v>4</v>
      </c>
      <c r="G580">
        <v>3922.39</v>
      </c>
      <c r="H580">
        <v>15689.56</v>
      </c>
      <c r="I580">
        <f t="shared" si="36"/>
        <v>11</v>
      </c>
      <c r="J580" t="str">
        <f t="shared" si="37"/>
        <v>Nov</v>
      </c>
      <c r="K580">
        <f t="shared" si="38"/>
        <v>2</v>
      </c>
      <c r="L580" t="str">
        <f t="shared" si="39"/>
        <v>Mon</v>
      </c>
    </row>
    <row r="581" spans="1:12" x14ac:dyDescent="0.25">
      <c r="A581" s="1">
        <v>45682</v>
      </c>
      <c r="B581" t="s">
        <v>39</v>
      </c>
      <c r="C581" t="s">
        <v>9</v>
      </c>
      <c r="D581" t="s">
        <v>17</v>
      </c>
      <c r="E581" t="s">
        <v>18</v>
      </c>
      <c r="F581">
        <v>7</v>
      </c>
      <c r="G581">
        <v>12777.91</v>
      </c>
      <c r="H581">
        <v>89445.37</v>
      </c>
      <c r="I581">
        <f t="shared" si="36"/>
        <v>1</v>
      </c>
      <c r="J581" t="str">
        <f t="shared" si="37"/>
        <v>Jan</v>
      </c>
      <c r="K581">
        <f t="shared" si="38"/>
        <v>7</v>
      </c>
      <c r="L581" t="str">
        <f t="shared" si="39"/>
        <v>Sat</v>
      </c>
    </row>
    <row r="582" spans="1:12" x14ac:dyDescent="0.25">
      <c r="A582" s="1">
        <v>45820</v>
      </c>
      <c r="B582" t="s">
        <v>23</v>
      </c>
      <c r="C582" t="s">
        <v>9</v>
      </c>
      <c r="D582" t="s">
        <v>14</v>
      </c>
      <c r="E582" t="s">
        <v>18</v>
      </c>
      <c r="F582">
        <v>9</v>
      </c>
      <c r="G582">
        <v>963.1</v>
      </c>
      <c r="H582">
        <v>8667.9</v>
      </c>
      <c r="I582">
        <f t="shared" si="36"/>
        <v>6</v>
      </c>
      <c r="J582" t="str">
        <f t="shared" si="37"/>
        <v>Jun</v>
      </c>
      <c r="K582">
        <f t="shared" si="38"/>
        <v>5</v>
      </c>
      <c r="L582" t="str">
        <f t="shared" si="39"/>
        <v>Thu</v>
      </c>
    </row>
    <row r="583" spans="1:12" x14ac:dyDescent="0.25">
      <c r="A583" s="1">
        <v>45762</v>
      </c>
      <c r="B583" t="s">
        <v>25</v>
      </c>
      <c r="C583" t="s">
        <v>21</v>
      </c>
      <c r="D583" t="s">
        <v>17</v>
      </c>
      <c r="E583" t="s">
        <v>26</v>
      </c>
      <c r="F583">
        <v>18</v>
      </c>
      <c r="G583">
        <v>4009.93</v>
      </c>
      <c r="H583">
        <v>72178.740000000005</v>
      </c>
      <c r="I583">
        <f t="shared" si="36"/>
        <v>4</v>
      </c>
      <c r="J583" t="str">
        <f t="shared" si="37"/>
        <v>Apr</v>
      </c>
      <c r="K583">
        <f t="shared" si="38"/>
        <v>3</v>
      </c>
      <c r="L583" t="str">
        <f t="shared" si="39"/>
        <v>Tue</v>
      </c>
    </row>
    <row r="584" spans="1:12" x14ac:dyDescent="0.25">
      <c r="A584" s="1">
        <v>45834</v>
      </c>
      <c r="B584" t="s">
        <v>23</v>
      </c>
      <c r="C584" t="s">
        <v>13</v>
      </c>
      <c r="D584" t="s">
        <v>17</v>
      </c>
      <c r="E584" t="s">
        <v>22</v>
      </c>
      <c r="F584">
        <v>15</v>
      </c>
      <c r="G584">
        <v>684.18</v>
      </c>
      <c r="H584">
        <v>10262.700000000001</v>
      </c>
      <c r="I584">
        <f t="shared" si="36"/>
        <v>6</v>
      </c>
      <c r="J584" t="str">
        <f t="shared" si="37"/>
        <v>Jun</v>
      </c>
      <c r="K584">
        <f t="shared" si="38"/>
        <v>5</v>
      </c>
      <c r="L584" t="str">
        <f t="shared" si="39"/>
        <v>Thu</v>
      </c>
    </row>
    <row r="585" spans="1:12" x14ac:dyDescent="0.25">
      <c r="A585" s="1">
        <v>45749</v>
      </c>
      <c r="B585" t="s">
        <v>40</v>
      </c>
      <c r="C585" t="s">
        <v>13</v>
      </c>
      <c r="D585" t="s">
        <v>14</v>
      </c>
      <c r="E585" t="s">
        <v>11</v>
      </c>
      <c r="F585">
        <v>17</v>
      </c>
      <c r="G585">
        <v>5140.63</v>
      </c>
      <c r="H585">
        <v>87390.71</v>
      </c>
      <c r="I585">
        <f t="shared" si="36"/>
        <v>4</v>
      </c>
      <c r="J585" t="str">
        <f t="shared" si="37"/>
        <v>Apr</v>
      </c>
      <c r="K585">
        <f t="shared" si="38"/>
        <v>4</v>
      </c>
      <c r="L585" t="str">
        <f t="shared" si="39"/>
        <v>Wed</v>
      </c>
    </row>
    <row r="586" spans="1:12" x14ac:dyDescent="0.25">
      <c r="A586" s="1">
        <v>45698</v>
      </c>
      <c r="B586" t="s">
        <v>12</v>
      </c>
      <c r="C586" t="s">
        <v>21</v>
      </c>
      <c r="D586" t="s">
        <v>19</v>
      </c>
      <c r="E586" t="s">
        <v>15</v>
      </c>
      <c r="F586">
        <v>8</v>
      </c>
      <c r="G586">
        <v>983.16</v>
      </c>
      <c r="H586">
        <v>7865.28</v>
      </c>
      <c r="I586">
        <f t="shared" si="36"/>
        <v>2</v>
      </c>
      <c r="J586" t="str">
        <f t="shared" si="37"/>
        <v>Feb</v>
      </c>
      <c r="K586">
        <f t="shared" si="38"/>
        <v>2</v>
      </c>
      <c r="L586" t="str">
        <f t="shared" si="39"/>
        <v>Mon</v>
      </c>
    </row>
    <row r="587" spans="1:12" x14ac:dyDescent="0.25">
      <c r="A587" s="1">
        <v>45901</v>
      </c>
      <c r="B587" t="s">
        <v>20</v>
      </c>
      <c r="C587" t="s">
        <v>13</v>
      </c>
      <c r="D587" t="s">
        <v>19</v>
      </c>
      <c r="E587" t="s">
        <v>27</v>
      </c>
      <c r="F587">
        <v>15</v>
      </c>
      <c r="G587">
        <v>1076.55</v>
      </c>
      <c r="H587">
        <v>16148.25</v>
      </c>
      <c r="I587">
        <f t="shared" si="36"/>
        <v>9</v>
      </c>
      <c r="J587" t="str">
        <f t="shared" si="37"/>
        <v>Sep</v>
      </c>
      <c r="K587">
        <f t="shared" si="38"/>
        <v>2</v>
      </c>
      <c r="L587" t="str">
        <f t="shared" si="39"/>
        <v>Mon</v>
      </c>
    </row>
    <row r="588" spans="1:12" x14ac:dyDescent="0.25">
      <c r="A588" s="1">
        <v>45881</v>
      </c>
      <c r="B588" t="s">
        <v>40</v>
      </c>
      <c r="C588" t="s">
        <v>21</v>
      </c>
      <c r="D588" t="s">
        <v>17</v>
      </c>
      <c r="E588" t="s">
        <v>11</v>
      </c>
      <c r="F588">
        <v>16</v>
      </c>
      <c r="G588">
        <v>6233.5</v>
      </c>
      <c r="H588">
        <v>99736</v>
      </c>
      <c r="I588">
        <f t="shared" si="36"/>
        <v>8</v>
      </c>
      <c r="J588" t="str">
        <f t="shared" si="37"/>
        <v>Aug</v>
      </c>
      <c r="K588">
        <f t="shared" si="38"/>
        <v>3</v>
      </c>
      <c r="L588" t="str">
        <f t="shared" si="39"/>
        <v>Tue</v>
      </c>
    </row>
    <row r="589" spans="1:12" x14ac:dyDescent="0.25">
      <c r="A589" s="1">
        <v>45859</v>
      </c>
      <c r="B589" t="s">
        <v>16</v>
      </c>
      <c r="C589" t="s">
        <v>13</v>
      </c>
      <c r="D589" t="s">
        <v>14</v>
      </c>
      <c r="E589" t="s">
        <v>26</v>
      </c>
      <c r="F589">
        <v>1</v>
      </c>
      <c r="G589">
        <v>2759.31</v>
      </c>
      <c r="H589">
        <v>2759.31</v>
      </c>
      <c r="I589">
        <f t="shared" si="36"/>
        <v>7</v>
      </c>
      <c r="J589" t="str">
        <f t="shared" si="37"/>
        <v>Jul</v>
      </c>
      <c r="K589">
        <f t="shared" si="38"/>
        <v>2</v>
      </c>
      <c r="L589" t="str">
        <f t="shared" si="39"/>
        <v>Mon</v>
      </c>
    </row>
    <row r="590" spans="1:12" x14ac:dyDescent="0.25">
      <c r="A590" s="1">
        <v>45994</v>
      </c>
      <c r="B590" t="s">
        <v>20</v>
      </c>
      <c r="C590" t="s">
        <v>21</v>
      </c>
      <c r="D590" t="s">
        <v>14</v>
      </c>
      <c r="E590" t="s">
        <v>11</v>
      </c>
      <c r="F590">
        <v>4</v>
      </c>
      <c r="G590">
        <v>1889.44</v>
      </c>
      <c r="H590">
        <v>7557.76</v>
      </c>
      <c r="I590">
        <f t="shared" si="36"/>
        <v>12</v>
      </c>
      <c r="J590" t="str">
        <f t="shared" si="37"/>
        <v>Dec</v>
      </c>
      <c r="K590">
        <f t="shared" si="38"/>
        <v>4</v>
      </c>
      <c r="L590" t="str">
        <f t="shared" si="39"/>
        <v>Wed</v>
      </c>
    </row>
    <row r="591" spans="1:12" x14ac:dyDescent="0.25">
      <c r="A591" s="1">
        <v>45733</v>
      </c>
      <c r="B591" t="s">
        <v>41</v>
      </c>
      <c r="C591" t="s">
        <v>21</v>
      </c>
      <c r="D591" t="s">
        <v>10</v>
      </c>
      <c r="E591" t="s">
        <v>26</v>
      </c>
      <c r="F591">
        <v>6</v>
      </c>
      <c r="G591">
        <v>687.44</v>
      </c>
      <c r="H591">
        <v>4124.6400000000003</v>
      </c>
      <c r="I591">
        <f t="shared" si="36"/>
        <v>3</v>
      </c>
      <c r="J591" t="str">
        <f t="shared" si="37"/>
        <v>Mar</v>
      </c>
      <c r="K591">
        <f t="shared" si="38"/>
        <v>2</v>
      </c>
      <c r="L591" t="str">
        <f t="shared" si="39"/>
        <v>Mon</v>
      </c>
    </row>
    <row r="592" spans="1:12" x14ac:dyDescent="0.25">
      <c r="A592" s="1">
        <v>45747</v>
      </c>
      <c r="B592" t="s">
        <v>41</v>
      </c>
      <c r="C592" t="s">
        <v>13</v>
      </c>
      <c r="D592" t="s">
        <v>14</v>
      </c>
      <c r="E592" t="s">
        <v>26</v>
      </c>
      <c r="F592">
        <v>17</v>
      </c>
      <c r="G592">
        <v>751.48</v>
      </c>
      <c r="H592">
        <v>12775.16</v>
      </c>
      <c r="I592">
        <f t="shared" si="36"/>
        <v>3</v>
      </c>
      <c r="J592" t="str">
        <f t="shared" si="37"/>
        <v>Mar</v>
      </c>
      <c r="K592">
        <f t="shared" si="38"/>
        <v>2</v>
      </c>
      <c r="L592" t="str">
        <f t="shared" si="39"/>
        <v>Mon</v>
      </c>
    </row>
    <row r="593" spans="1:12" x14ac:dyDescent="0.25">
      <c r="A593" s="1">
        <v>45763</v>
      </c>
      <c r="B593" t="s">
        <v>40</v>
      </c>
      <c r="C593" t="s">
        <v>13</v>
      </c>
      <c r="D593" t="s">
        <v>17</v>
      </c>
      <c r="E593" t="s">
        <v>18</v>
      </c>
      <c r="F593">
        <v>1</v>
      </c>
      <c r="G593">
        <v>6186.04</v>
      </c>
      <c r="H593">
        <v>6186.04</v>
      </c>
      <c r="I593">
        <f t="shared" si="36"/>
        <v>4</v>
      </c>
      <c r="J593" t="str">
        <f t="shared" si="37"/>
        <v>Apr</v>
      </c>
      <c r="K593">
        <f t="shared" si="38"/>
        <v>4</v>
      </c>
      <c r="L593" t="str">
        <f t="shared" si="39"/>
        <v>Wed</v>
      </c>
    </row>
    <row r="594" spans="1:12" x14ac:dyDescent="0.25">
      <c r="A594" s="1">
        <v>45793</v>
      </c>
      <c r="B594" t="s">
        <v>16</v>
      </c>
      <c r="C594" t="s">
        <v>13</v>
      </c>
      <c r="D594" t="s">
        <v>17</v>
      </c>
      <c r="E594" t="s">
        <v>26</v>
      </c>
      <c r="F594">
        <v>11</v>
      </c>
      <c r="G594">
        <v>2706.93</v>
      </c>
      <c r="H594">
        <v>29776.23</v>
      </c>
      <c r="I594">
        <f t="shared" si="36"/>
        <v>5</v>
      </c>
      <c r="J594" t="str">
        <f t="shared" si="37"/>
        <v>May</v>
      </c>
      <c r="K594">
        <f t="shared" si="38"/>
        <v>6</v>
      </c>
      <c r="L594" t="str">
        <f t="shared" si="39"/>
        <v>Fri</v>
      </c>
    </row>
    <row r="595" spans="1:12" x14ac:dyDescent="0.25">
      <c r="A595" s="1">
        <v>45886</v>
      </c>
      <c r="B595" t="s">
        <v>12</v>
      </c>
      <c r="C595" t="s">
        <v>21</v>
      </c>
      <c r="D595" t="s">
        <v>19</v>
      </c>
      <c r="E595" t="s">
        <v>11</v>
      </c>
      <c r="F595">
        <v>5</v>
      </c>
      <c r="G595">
        <v>1053.3499999999999</v>
      </c>
      <c r="H595">
        <v>5266.75</v>
      </c>
      <c r="I595">
        <f t="shared" si="36"/>
        <v>8</v>
      </c>
      <c r="J595" t="str">
        <f t="shared" si="37"/>
        <v>Aug</v>
      </c>
      <c r="K595">
        <f t="shared" si="38"/>
        <v>1</v>
      </c>
      <c r="L595" t="str">
        <f t="shared" si="39"/>
        <v>Sun</v>
      </c>
    </row>
    <row r="596" spans="1:12" x14ac:dyDescent="0.25">
      <c r="A596" s="1">
        <v>45675</v>
      </c>
      <c r="B596" t="s">
        <v>16</v>
      </c>
      <c r="C596" t="s">
        <v>13</v>
      </c>
      <c r="D596" t="s">
        <v>14</v>
      </c>
      <c r="E596" t="s">
        <v>11</v>
      </c>
      <c r="F596">
        <v>13</v>
      </c>
      <c r="G596">
        <v>2201.5700000000002</v>
      </c>
      <c r="H596">
        <v>28620.41</v>
      </c>
      <c r="I596">
        <f t="shared" si="36"/>
        <v>1</v>
      </c>
      <c r="J596" t="str">
        <f t="shared" si="37"/>
        <v>Jan</v>
      </c>
      <c r="K596">
        <f t="shared" si="38"/>
        <v>7</v>
      </c>
      <c r="L596" t="str">
        <f t="shared" si="39"/>
        <v>Sat</v>
      </c>
    </row>
    <row r="597" spans="1:12" x14ac:dyDescent="0.25">
      <c r="A597" s="1">
        <v>45912</v>
      </c>
      <c r="B597" t="s">
        <v>20</v>
      </c>
      <c r="C597" t="s">
        <v>9</v>
      </c>
      <c r="D597" t="s">
        <v>10</v>
      </c>
      <c r="E597" t="s">
        <v>18</v>
      </c>
      <c r="F597">
        <v>15</v>
      </c>
      <c r="G597">
        <v>1302.93</v>
      </c>
      <c r="H597">
        <v>19543.95</v>
      </c>
      <c r="I597">
        <f t="shared" si="36"/>
        <v>9</v>
      </c>
      <c r="J597" t="str">
        <f t="shared" si="37"/>
        <v>Sep</v>
      </c>
      <c r="K597">
        <f t="shared" si="38"/>
        <v>6</v>
      </c>
      <c r="L597" t="str">
        <f t="shared" si="39"/>
        <v>Fri</v>
      </c>
    </row>
    <row r="598" spans="1:12" x14ac:dyDescent="0.25">
      <c r="A598" s="1">
        <v>45660</v>
      </c>
      <c r="B598" t="s">
        <v>25</v>
      </c>
      <c r="C598" t="s">
        <v>21</v>
      </c>
      <c r="D598" t="s">
        <v>17</v>
      </c>
      <c r="E598" t="s">
        <v>22</v>
      </c>
      <c r="F598">
        <v>6</v>
      </c>
      <c r="G598">
        <v>2784.93</v>
      </c>
      <c r="H598">
        <v>16709.580000000002</v>
      </c>
      <c r="I598">
        <f t="shared" si="36"/>
        <v>1</v>
      </c>
      <c r="J598" t="str">
        <f t="shared" si="37"/>
        <v>Jan</v>
      </c>
      <c r="K598">
        <f t="shared" si="38"/>
        <v>6</v>
      </c>
      <c r="L598" t="str">
        <f t="shared" si="39"/>
        <v>Fri</v>
      </c>
    </row>
    <row r="599" spans="1:12" x14ac:dyDescent="0.25">
      <c r="A599" s="1">
        <v>45789</v>
      </c>
      <c r="B599" t="s">
        <v>39</v>
      </c>
      <c r="C599" t="s">
        <v>21</v>
      </c>
      <c r="D599" t="s">
        <v>19</v>
      </c>
      <c r="E599" t="s">
        <v>15</v>
      </c>
      <c r="F599">
        <v>18</v>
      </c>
      <c r="G599">
        <v>18435.22</v>
      </c>
      <c r="H599">
        <v>331833.96000000002</v>
      </c>
      <c r="I599">
        <f t="shared" si="36"/>
        <v>5</v>
      </c>
      <c r="J599" t="str">
        <f t="shared" si="37"/>
        <v>May</v>
      </c>
      <c r="K599">
        <f t="shared" si="38"/>
        <v>2</v>
      </c>
      <c r="L599" t="str">
        <f t="shared" si="39"/>
        <v>Mon</v>
      </c>
    </row>
    <row r="600" spans="1:12" x14ac:dyDescent="0.25">
      <c r="A600" s="1">
        <v>45765</v>
      </c>
      <c r="B600" t="s">
        <v>8</v>
      </c>
      <c r="C600" t="s">
        <v>13</v>
      </c>
      <c r="D600" t="s">
        <v>10</v>
      </c>
      <c r="E600" t="s">
        <v>18</v>
      </c>
      <c r="F600">
        <v>5</v>
      </c>
      <c r="G600">
        <v>845.73</v>
      </c>
      <c r="H600">
        <v>4228.6499999999996</v>
      </c>
      <c r="I600">
        <f t="shared" si="36"/>
        <v>4</v>
      </c>
      <c r="J600" t="str">
        <f t="shared" si="37"/>
        <v>Apr</v>
      </c>
      <c r="K600">
        <f t="shared" si="38"/>
        <v>6</v>
      </c>
      <c r="L600" t="str">
        <f t="shared" si="39"/>
        <v>Fri</v>
      </c>
    </row>
    <row r="601" spans="1:12" x14ac:dyDescent="0.25">
      <c r="A601" s="1">
        <v>45796</v>
      </c>
      <c r="B601" t="s">
        <v>41</v>
      </c>
      <c r="C601" t="s">
        <v>21</v>
      </c>
      <c r="D601" t="s">
        <v>10</v>
      </c>
      <c r="E601" t="s">
        <v>22</v>
      </c>
      <c r="F601">
        <v>13</v>
      </c>
      <c r="G601">
        <v>530.80999999999995</v>
      </c>
      <c r="H601">
        <v>6900.53</v>
      </c>
      <c r="I601">
        <f t="shared" si="36"/>
        <v>5</v>
      </c>
      <c r="J601" t="str">
        <f t="shared" si="37"/>
        <v>May</v>
      </c>
      <c r="K601">
        <f t="shared" si="38"/>
        <v>2</v>
      </c>
      <c r="L601" t="str">
        <f t="shared" si="39"/>
        <v>Mon</v>
      </c>
    </row>
    <row r="602" spans="1:12" x14ac:dyDescent="0.25">
      <c r="A602" s="1">
        <v>45689</v>
      </c>
      <c r="B602" t="s">
        <v>20</v>
      </c>
      <c r="C602" t="s">
        <v>9</v>
      </c>
      <c r="D602" t="s">
        <v>19</v>
      </c>
      <c r="E602" t="s">
        <v>26</v>
      </c>
      <c r="F602">
        <v>17</v>
      </c>
      <c r="G602">
        <v>1505.07</v>
      </c>
      <c r="H602">
        <v>25586.19</v>
      </c>
      <c r="I602">
        <f t="shared" si="36"/>
        <v>2</v>
      </c>
      <c r="J602" t="str">
        <f t="shared" si="37"/>
        <v>Feb</v>
      </c>
      <c r="K602">
        <f t="shared" si="38"/>
        <v>7</v>
      </c>
      <c r="L602" t="str">
        <f t="shared" si="39"/>
        <v>Sat</v>
      </c>
    </row>
    <row r="603" spans="1:12" x14ac:dyDescent="0.25">
      <c r="A603" s="1">
        <v>45951</v>
      </c>
      <c r="B603" t="s">
        <v>39</v>
      </c>
      <c r="C603" t="s">
        <v>9</v>
      </c>
      <c r="D603" t="s">
        <v>17</v>
      </c>
      <c r="E603" t="s">
        <v>15</v>
      </c>
      <c r="F603">
        <v>9</v>
      </c>
      <c r="G603">
        <v>11198.77</v>
      </c>
      <c r="H603">
        <v>100788.93</v>
      </c>
      <c r="I603">
        <f t="shared" si="36"/>
        <v>10</v>
      </c>
      <c r="J603" t="str">
        <f t="shared" si="37"/>
        <v>Oct</v>
      </c>
      <c r="K603">
        <f t="shared" si="38"/>
        <v>3</v>
      </c>
      <c r="L603" t="str">
        <f t="shared" si="39"/>
        <v>Tue</v>
      </c>
    </row>
    <row r="604" spans="1:12" x14ac:dyDescent="0.25">
      <c r="A604" s="1">
        <v>45765</v>
      </c>
      <c r="B604" t="s">
        <v>23</v>
      </c>
      <c r="C604" t="s">
        <v>13</v>
      </c>
      <c r="D604" t="s">
        <v>14</v>
      </c>
      <c r="E604" t="s">
        <v>18</v>
      </c>
      <c r="F604">
        <v>5</v>
      </c>
      <c r="G604">
        <v>884.93</v>
      </c>
      <c r="H604">
        <v>4424.6499999999996</v>
      </c>
      <c r="I604">
        <f t="shared" si="36"/>
        <v>4</v>
      </c>
      <c r="J604" t="str">
        <f t="shared" si="37"/>
        <v>Apr</v>
      </c>
      <c r="K604">
        <f t="shared" si="38"/>
        <v>6</v>
      </c>
      <c r="L604" t="str">
        <f t="shared" si="39"/>
        <v>Fri</v>
      </c>
    </row>
    <row r="605" spans="1:12" x14ac:dyDescent="0.25">
      <c r="A605" s="1">
        <v>45732</v>
      </c>
      <c r="B605" t="s">
        <v>20</v>
      </c>
      <c r="C605" t="s">
        <v>13</v>
      </c>
      <c r="D605" t="s">
        <v>14</v>
      </c>
      <c r="E605" t="s">
        <v>18</v>
      </c>
      <c r="F605">
        <v>9</v>
      </c>
      <c r="G605">
        <v>1194.33</v>
      </c>
      <c r="H605">
        <v>10748.97</v>
      </c>
      <c r="I605">
        <f t="shared" si="36"/>
        <v>3</v>
      </c>
      <c r="J605" t="str">
        <f t="shared" si="37"/>
        <v>Mar</v>
      </c>
      <c r="K605">
        <f t="shared" si="38"/>
        <v>1</v>
      </c>
      <c r="L605" t="str">
        <f t="shared" si="39"/>
        <v>Sun</v>
      </c>
    </row>
    <row r="606" spans="1:12" x14ac:dyDescent="0.25">
      <c r="A606" s="1">
        <v>45821</v>
      </c>
      <c r="B606" t="s">
        <v>20</v>
      </c>
      <c r="C606" t="s">
        <v>9</v>
      </c>
      <c r="D606" t="s">
        <v>19</v>
      </c>
      <c r="E606" t="s">
        <v>27</v>
      </c>
      <c r="F606">
        <v>15</v>
      </c>
      <c r="G606">
        <v>1490.44</v>
      </c>
      <c r="H606">
        <v>22356.6</v>
      </c>
      <c r="I606">
        <f t="shared" si="36"/>
        <v>6</v>
      </c>
      <c r="J606" t="str">
        <f t="shared" si="37"/>
        <v>Jun</v>
      </c>
      <c r="K606">
        <f t="shared" si="38"/>
        <v>6</v>
      </c>
      <c r="L606" t="str">
        <f t="shared" si="39"/>
        <v>Fri</v>
      </c>
    </row>
    <row r="607" spans="1:12" x14ac:dyDescent="0.25">
      <c r="A607" s="1">
        <v>45702</v>
      </c>
      <c r="B607" t="s">
        <v>39</v>
      </c>
      <c r="C607" t="s">
        <v>13</v>
      </c>
      <c r="D607" t="s">
        <v>19</v>
      </c>
      <c r="E607" t="s">
        <v>15</v>
      </c>
      <c r="F607">
        <v>2</v>
      </c>
      <c r="G607">
        <v>15287</v>
      </c>
      <c r="H607">
        <v>30574</v>
      </c>
      <c r="I607">
        <f t="shared" si="36"/>
        <v>2</v>
      </c>
      <c r="J607" t="str">
        <f t="shared" si="37"/>
        <v>Feb</v>
      </c>
      <c r="K607">
        <f t="shared" si="38"/>
        <v>6</v>
      </c>
      <c r="L607" t="str">
        <f t="shared" si="39"/>
        <v>Fri</v>
      </c>
    </row>
    <row r="608" spans="1:12" x14ac:dyDescent="0.25">
      <c r="A608" s="1">
        <v>45764</v>
      </c>
      <c r="B608" t="s">
        <v>16</v>
      </c>
      <c r="C608" t="s">
        <v>21</v>
      </c>
      <c r="D608" t="s">
        <v>14</v>
      </c>
      <c r="E608" t="s">
        <v>18</v>
      </c>
      <c r="F608">
        <v>17</v>
      </c>
      <c r="G608">
        <v>2371.3000000000002</v>
      </c>
      <c r="H608">
        <v>40312.1</v>
      </c>
      <c r="I608">
        <f t="shared" si="36"/>
        <v>4</v>
      </c>
      <c r="J608" t="str">
        <f t="shared" si="37"/>
        <v>Apr</v>
      </c>
      <c r="K608">
        <f t="shared" si="38"/>
        <v>5</v>
      </c>
      <c r="L608" t="str">
        <f t="shared" si="39"/>
        <v>Thu</v>
      </c>
    </row>
    <row r="609" spans="1:12" x14ac:dyDescent="0.25">
      <c r="A609" s="1">
        <v>45778</v>
      </c>
      <c r="B609" t="s">
        <v>12</v>
      </c>
      <c r="C609" t="s">
        <v>13</v>
      </c>
      <c r="D609" t="s">
        <v>19</v>
      </c>
      <c r="E609" t="s">
        <v>11</v>
      </c>
      <c r="F609">
        <v>4</v>
      </c>
      <c r="G609">
        <v>693.94</v>
      </c>
      <c r="H609">
        <v>2775.76</v>
      </c>
      <c r="I609">
        <f t="shared" si="36"/>
        <v>5</v>
      </c>
      <c r="J609" t="str">
        <f t="shared" si="37"/>
        <v>May</v>
      </c>
      <c r="K609">
        <f t="shared" si="38"/>
        <v>5</v>
      </c>
      <c r="L609" t="str">
        <f t="shared" si="39"/>
        <v>Thu</v>
      </c>
    </row>
    <row r="610" spans="1:12" x14ac:dyDescent="0.25">
      <c r="A610" s="1">
        <v>45890</v>
      </c>
      <c r="B610" t="s">
        <v>20</v>
      </c>
      <c r="C610" t="s">
        <v>13</v>
      </c>
      <c r="D610" t="s">
        <v>10</v>
      </c>
      <c r="E610" t="s">
        <v>11</v>
      </c>
      <c r="F610">
        <v>15</v>
      </c>
      <c r="G610">
        <v>1724.45</v>
      </c>
      <c r="H610">
        <v>25866.75</v>
      </c>
      <c r="I610">
        <f t="shared" si="36"/>
        <v>8</v>
      </c>
      <c r="J610" t="str">
        <f t="shared" si="37"/>
        <v>Aug</v>
      </c>
      <c r="K610">
        <f t="shared" si="38"/>
        <v>5</v>
      </c>
      <c r="L610" t="str">
        <f t="shared" si="39"/>
        <v>Thu</v>
      </c>
    </row>
    <row r="611" spans="1:12" x14ac:dyDescent="0.25">
      <c r="A611" s="1">
        <v>45808</v>
      </c>
      <c r="B611" t="s">
        <v>41</v>
      </c>
      <c r="C611" t="s">
        <v>13</v>
      </c>
      <c r="D611" t="s">
        <v>17</v>
      </c>
      <c r="E611" t="s">
        <v>22</v>
      </c>
      <c r="F611">
        <v>15</v>
      </c>
      <c r="G611">
        <v>691.39</v>
      </c>
      <c r="H611">
        <v>10370.85</v>
      </c>
      <c r="I611">
        <f t="shared" si="36"/>
        <v>5</v>
      </c>
      <c r="J611" t="str">
        <f t="shared" si="37"/>
        <v>May</v>
      </c>
      <c r="K611">
        <f t="shared" si="38"/>
        <v>7</v>
      </c>
      <c r="L611" t="str">
        <f t="shared" si="39"/>
        <v>Sat</v>
      </c>
    </row>
    <row r="612" spans="1:12" x14ac:dyDescent="0.25">
      <c r="A612" s="1">
        <v>45676</v>
      </c>
      <c r="B612" t="s">
        <v>23</v>
      </c>
      <c r="C612" t="s">
        <v>21</v>
      </c>
      <c r="D612" t="s">
        <v>19</v>
      </c>
      <c r="E612" t="s">
        <v>26</v>
      </c>
      <c r="F612">
        <v>1</v>
      </c>
      <c r="G612">
        <v>657.76</v>
      </c>
      <c r="H612">
        <v>657.76</v>
      </c>
      <c r="I612">
        <f t="shared" si="36"/>
        <v>1</v>
      </c>
      <c r="J612" t="str">
        <f t="shared" si="37"/>
        <v>Jan</v>
      </c>
      <c r="K612">
        <f t="shared" si="38"/>
        <v>1</v>
      </c>
      <c r="L612" t="str">
        <f t="shared" si="39"/>
        <v>Sun</v>
      </c>
    </row>
    <row r="613" spans="1:12" x14ac:dyDescent="0.25">
      <c r="A613" s="1">
        <v>46010</v>
      </c>
      <c r="B613" t="s">
        <v>23</v>
      </c>
      <c r="C613" t="s">
        <v>9</v>
      </c>
      <c r="D613" t="s">
        <v>14</v>
      </c>
      <c r="E613" t="s">
        <v>18</v>
      </c>
      <c r="F613">
        <v>2</v>
      </c>
      <c r="G613">
        <v>570.63</v>
      </c>
      <c r="H613">
        <v>1141.26</v>
      </c>
      <c r="I613">
        <f t="shared" si="36"/>
        <v>12</v>
      </c>
      <c r="J613" t="str">
        <f t="shared" si="37"/>
        <v>Dec</v>
      </c>
      <c r="K613">
        <f t="shared" si="38"/>
        <v>6</v>
      </c>
      <c r="L613" t="str">
        <f t="shared" si="39"/>
        <v>Fri</v>
      </c>
    </row>
    <row r="614" spans="1:12" x14ac:dyDescent="0.25">
      <c r="A614" s="1">
        <v>45895</v>
      </c>
      <c r="B614" t="s">
        <v>39</v>
      </c>
      <c r="C614" t="s">
        <v>9</v>
      </c>
      <c r="D614" t="s">
        <v>19</v>
      </c>
      <c r="E614" t="s">
        <v>15</v>
      </c>
      <c r="F614">
        <v>7</v>
      </c>
      <c r="G614">
        <v>11785.58</v>
      </c>
      <c r="H614">
        <v>82499.06</v>
      </c>
      <c r="I614">
        <f t="shared" si="36"/>
        <v>8</v>
      </c>
      <c r="J614" t="str">
        <f t="shared" si="37"/>
        <v>Aug</v>
      </c>
      <c r="K614">
        <f t="shared" si="38"/>
        <v>3</v>
      </c>
      <c r="L614" t="str">
        <f t="shared" si="39"/>
        <v>Tue</v>
      </c>
    </row>
    <row r="615" spans="1:12" x14ac:dyDescent="0.25">
      <c r="A615" s="1">
        <v>45938</v>
      </c>
      <c r="B615" t="s">
        <v>39</v>
      </c>
      <c r="C615" t="s">
        <v>13</v>
      </c>
      <c r="D615" t="s">
        <v>17</v>
      </c>
      <c r="E615" t="s">
        <v>15</v>
      </c>
      <c r="F615">
        <v>17</v>
      </c>
      <c r="G615">
        <v>16610.080000000002</v>
      </c>
      <c r="H615">
        <v>282371.36</v>
      </c>
      <c r="I615">
        <f t="shared" si="36"/>
        <v>10</v>
      </c>
      <c r="J615" t="str">
        <f t="shared" si="37"/>
        <v>Oct</v>
      </c>
      <c r="K615">
        <f t="shared" si="38"/>
        <v>4</v>
      </c>
      <c r="L615" t="str">
        <f t="shared" si="39"/>
        <v>Wed</v>
      </c>
    </row>
    <row r="616" spans="1:12" x14ac:dyDescent="0.25">
      <c r="A616" s="1">
        <v>45970</v>
      </c>
      <c r="B616" t="s">
        <v>39</v>
      </c>
      <c r="C616" t="s">
        <v>13</v>
      </c>
      <c r="D616" t="s">
        <v>17</v>
      </c>
      <c r="E616" t="s">
        <v>22</v>
      </c>
      <c r="F616">
        <v>17</v>
      </c>
      <c r="G616">
        <v>16002.03</v>
      </c>
      <c r="H616">
        <v>272034.51</v>
      </c>
      <c r="I616">
        <f t="shared" si="36"/>
        <v>11</v>
      </c>
      <c r="J616" t="str">
        <f t="shared" si="37"/>
        <v>Nov</v>
      </c>
      <c r="K616">
        <f t="shared" si="38"/>
        <v>1</v>
      </c>
      <c r="L616" t="str">
        <f t="shared" si="39"/>
        <v>Sun</v>
      </c>
    </row>
    <row r="617" spans="1:12" x14ac:dyDescent="0.25">
      <c r="A617" s="1">
        <v>45827</v>
      </c>
      <c r="B617" t="s">
        <v>40</v>
      </c>
      <c r="C617" t="s">
        <v>13</v>
      </c>
      <c r="D617" t="s">
        <v>17</v>
      </c>
      <c r="E617" t="s">
        <v>11</v>
      </c>
      <c r="F617">
        <v>15</v>
      </c>
      <c r="G617">
        <v>6156.86</v>
      </c>
      <c r="H617">
        <v>92352.9</v>
      </c>
      <c r="I617">
        <f t="shared" si="36"/>
        <v>6</v>
      </c>
      <c r="J617" t="str">
        <f t="shared" si="37"/>
        <v>Jun</v>
      </c>
      <c r="K617">
        <f t="shared" si="38"/>
        <v>5</v>
      </c>
      <c r="L617" t="str">
        <f t="shared" si="39"/>
        <v>Thu</v>
      </c>
    </row>
    <row r="618" spans="1:12" x14ac:dyDescent="0.25">
      <c r="A618" s="1">
        <v>45938</v>
      </c>
      <c r="B618" t="s">
        <v>40</v>
      </c>
      <c r="C618" t="s">
        <v>21</v>
      </c>
      <c r="D618" t="s">
        <v>19</v>
      </c>
      <c r="E618" t="s">
        <v>15</v>
      </c>
      <c r="F618">
        <v>1</v>
      </c>
      <c r="G618">
        <v>4895.17</v>
      </c>
      <c r="H618">
        <v>4895.17</v>
      </c>
      <c r="I618">
        <f t="shared" si="36"/>
        <v>10</v>
      </c>
      <c r="J618" t="str">
        <f t="shared" si="37"/>
        <v>Oct</v>
      </c>
      <c r="K618">
        <f t="shared" si="38"/>
        <v>4</v>
      </c>
      <c r="L618" t="str">
        <f t="shared" si="39"/>
        <v>Wed</v>
      </c>
    </row>
    <row r="619" spans="1:12" x14ac:dyDescent="0.25">
      <c r="A619" s="1">
        <v>45742</v>
      </c>
      <c r="B619" t="s">
        <v>40</v>
      </c>
      <c r="C619" t="s">
        <v>13</v>
      </c>
      <c r="D619" t="s">
        <v>19</v>
      </c>
      <c r="E619" t="s">
        <v>11</v>
      </c>
      <c r="F619">
        <v>9</v>
      </c>
      <c r="G619">
        <v>5094.7299999999996</v>
      </c>
      <c r="H619">
        <v>45852.57</v>
      </c>
      <c r="I619">
        <f t="shared" si="36"/>
        <v>3</v>
      </c>
      <c r="J619" t="str">
        <f t="shared" si="37"/>
        <v>Mar</v>
      </c>
      <c r="K619">
        <f t="shared" si="38"/>
        <v>4</v>
      </c>
      <c r="L619" t="str">
        <f t="shared" si="39"/>
        <v>Wed</v>
      </c>
    </row>
    <row r="620" spans="1:12" x14ac:dyDescent="0.25">
      <c r="A620" s="1">
        <v>45995</v>
      </c>
      <c r="B620" t="s">
        <v>23</v>
      </c>
      <c r="C620" t="s">
        <v>21</v>
      </c>
      <c r="D620" t="s">
        <v>17</v>
      </c>
      <c r="E620" t="s">
        <v>15</v>
      </c>
      <c r="F620">
        <v>15</v>
      </c>
      <c r="G620">
        <v>783.83</v>
      </c>
      <c r="H620">
        <v>11757.45</v>
      </c>
      <c r="I620">
        <f t="shared" si="36"/>
        <v>12</v>
      </c>
      <c r="J620" t="str">
        <f t="shared" si="37"/>
        <v>Dec</v>
      </c>
      <c r="K620">
        <f t="shared" si="38"/>
        <v>5</v>
      </c>
      <c r="L620" t="str">
        <f t="shared" si="39"/>
        <v>Thu</v>
      </c>
    </row>
    <row r="621" spans="1:12" x14ac:dyDescent="0.25">
      <c r="A621" s="1">
        <v>45837</v>
      </c>
      <c r="B621" t="s">
        <v>40</v>
      </c>
      <c r="C621" t="s">
        <v>21</v>
      </c>
      <c r="D621" t="s">
        <v>10</v>
      </c>
      <c r="E621" t="s">
        <v>26</v>
      </c>
      <c r="F621">
        <v>8</v>
      </c>
      <c r="G621">
        <v>6132.05</v>
      </c>
      <c r="H621">
        <v>49056.4</v>
      </c>
      <c r="I621">
        <f t="shared" si="36"/>
        <v>6</v>
      </c>
      <c r="J621" t="str">
        <f t="shared" si="37"/>
        <v>Jun</v>
      </c>
      <c r="K621">
        <f t="shared" si="38"/>
        <v>1</v>
      </c>
      <c r="L621" t="str">
        <f t="shared" si="39"/>
        <v>Sun</v>
      </c>
    </row>
    <row r="622" spans="1:12" x14ac:dyDescent="0.25">
      <c r="A622" s="1">
        <v>45860</v>
      </c>
      <c r="B622" t="s">
        <v>40</v>
      </c>
      <c r="C622" t="s">
        <v>13</v>
      </c>
      <c r="D622" t="s">
        <v>19</v>
      </c>
      <c r="E622" t="s">
        <v>27</v>
      </c>
      <c r="F622">
        <v>17</v>
      </c>
      <c r="G622">
        <v>3722.32</v>
      </c>
      <c r="H622">
        <v>63279.44</v>
      </c>
      <c r="I622">
        <f t="shared" si="36"/>
        <v>7</v>
      </c>
      <c r="J622" t="str">
        <f t="shared" si="37"/>
        <v>Jul</v>
      </c>
      <c r="K622">
        <f t="shared" si="38"/>
        <v>3</v>
      </c>
      <c r="L622" t="str">
        <f t="shared" si="39"/>
        <v>Tue</v>
      </c>
    </row>
    <row r="623" spans="1:12" x14ac:dyDescent="0.25">
      <c r="A623" s="1">
        <v>45978</v>
      </c>
      <c r="B623" t="s">
        <v>25</v>
      </c>
      <c r="C623" t="s">
        <v>13</v>
      </c>
      <c r="D623" t="s">
        <v>19</v>
      </c>
      <c r="E623" t="s">
        <v>15</v>
      </c>
      <c r="F623">
        <v>10</v>
      </c>
      <c r="G623">
        <v>3124.44</v>
      </c>
      <c r="H623">
        <v>31244.400000000001</v>
      </c>
      <c r="I623">
        <f t="shared" si="36"/>
        <v>11</v>
      </c>
      <c r="J623" t="str">
        <f t="shared" si="37"/>
        <v>Nov</v>
      </c>
      <c r="K623">
        <f t="shared" si="38"/>
        <v>2</v>
      </c>
      <c r="L623" t="str">
        <f t="shared" si="39"/>
        <v>Mon</v>
      </c>
    </row>
    <row r="624" spans="1:12" x14ac:dyDescent="0.25">
      <c r="A624" s="1">
        <v>45995</v>
      </c>
      <c r="B624" t="s">
        <v>23</v>
      </c>
      <c r="C624" t="s">
        <v>21</v>
      </c>
      <c r="D624" t="s">
        <v>14</v>
      </c>
      <c r="E624" t="s">
        <v>11</v>
      </c>
      <c r="F624">
        <v>4</v>
      </c>
      <c r="G624">
        <v>782.83</v>
      </c>
      <c r="H624">
        <v>3131.32</v>
      </c>
      <c r="I624">
        <f t="shared" si="36"/>
        <v>12</v>
      </c>
      <c r="J624" t="str">
        <f t="shared" si="37"/>
        <v>Dec</v>
      </c>
      <c r="K624">
        <f t="shared" si="38"/>
        <v>5</v>
      </c>
      <c r="L624" t="str">
        <f t="shared" si="39"/>
        <v>Thu</v>
      </c>
    </row>
    <row r="625" spans="1:12" x14ac:dyDescent="0.25">
      <c r="A625" s="1">
        <v>45987</v>
      </c>
      <c r="B625" t="s">
        <v>12</v>
      </c>
      <c r="C625" t="s">
        <v>13</v>
      </c>
      <c r="D625" t="s">
        <v>10</v>
      </c>
      <c r="E625" t="s">
        <v>11</v>
      </c>
      <c r="F625">
        <v>11</v>
      </c>
      <c r="G625">
        <v>1078.94</v>
      </c>
      <c r="H625">
        <v>11868.34</v>
      </c>
      <c r="I625">
        <f t="shared" si="36"/>
        <v>11</v>
      </c>
      <c r="J625" t="str">
        <f t="shared" si="37"/>
        <v>Nov</v>
      </c>
      <c r="K625">
        <f t="shared" si="38"/>
        <v>4</v>
      </c>
      <c r="L625" t="str">
        <f t="shared" si="39"/>
        <v>Wed</v>
      </c>
    </row>
    <row r="626" spans="1:12" x14ac:dyDescent="0.25">
      <c r="A626" s="1">
        <v>45912</v>
      </c>
      <c r="B626" t="s">
        <v>39</v>
      </c>
      <c r="C626" t="s">
        <v>9</v>
      </c>
      <c r="D626" t="s">
        <v>19</v>
      </c>
      <c r="E626" t="s">
        <v>27</v>
      </c>
      <c r="F626">
        <v>2</v>
      </c>
      <c r="G626">
        <v>17455.29</v>
      </c>
      <c r="H626">
        <v>34910.58</v>
      </c>
      <c r="I626">
        <f t="shared" si="36"/>
        <v>9</v>
      </c>
      <c r="J626" t="str">
        <f t="shared" si="37"/>
        <v>Sep</v>
      </c>
      <c r="K626">
        <f t="shared" si="38"/>
        <v>6</v>
      </c>
      <c r="L626" t="str">
        <f t="shared" si="39"/>
        <v>Fri</v>
      </c>
    </row>
    <row r="627" spans="1:12" x14ac:dyDescent="0.25">
      <c r="A627" s="1">
        <v>45863</v>
      </c>
      <c r="B627" t="s">
        <v>40</v>
      </c>
      <c r="C627" t="s">
        <v>9</v>
      </c>
      <c r="D627" t="s">
        <v>14</v>
      </c>
      <c r="E627" t="s">
        <v>26</v>
      </c>
      <c r="F627">
        <v>5</v>
      </c>
      <c r="G627">
        <v>5063.22</v>
      </c>
      <c r="H627">
        <v>25316.1</v>
      </c>
      <c r="I627">
        <f t="shared" si="36"/>
        <v>7</v>
      </c>
      <c r="J627" t="str">
        <f t="shared" si="37"/>
        <v>Jul</v>
      </c>
      <c r="K627">
        <f t="shared" si="38"/>
        <v>6</v>
      </c>
      <c r="L627" t="str">
        <f t="shared" si="39"/>
        <v>Fri</v>
      </c>
    </row>
    <row r="628" spans="1:12" x14ac:dyDescent="0.25">
      <c r="A628" s="1">
        <v>45974</v>
      </c>
      <c r="B628" t="s">
        <v>20</v>
      </c>
      <c r="C628" t="s">
        <v>21</v>
      </c>
      <c r="D628" t="s">
        <v>19</v>
      </c>
      <c r="E628" t="s">
        <v>15</v>
      </c>
      <c r="F628">
        <v>3</v>
      </c>
      <c r="G628">
        <v>1654.04</v>
      </c>
      <c r="H628">
        <v>4962.12</v>
      </c>
      <c r="I628">
        <f t="shared" si="36"/>
        <v>11</v>
      </c>
      <c r="J628" t="str">
        <f t="shared" si="37"/>
        <v>Nov</v>
      </c>
      <c r="K628">
        <f t="shared" si="38"/>
        <v>5</v>
      </c>
      <c r="L628" t="str">
        <f t="shared" si="39"/>
        <v>Thu</v>
      </c>
    </row>
    <row r="629" spans="1:12" x14ac:dyDescent="0.25">
      <c r="A629" s="1">
        <v>45848</v>
      </c>
      <c r="B629" t="s">
        <v>20</v>
      </c>
      <c r="C629" t="s">
        <v>9</v>
      </c>
      <c r="D629" t="s">
        <v>10</v>
      </c>
      <c r="E629" t="s">
        <v>18</v>
      </c>
      <c r="F629">
        <v>6</v>
      </c>
      <c r="G629">
        <v>1724.98</v>
      </c>
      <c r="H629">
        <v>10349.879999999999</v>
      </c>
      <c r="I629">
        <f t="shared" si="36"/>
        <v>7</v>
      </c>
      <c r="J629" t="str">
        <f t="shared" si="37"/>
        <v>Jul</v>
      </c>
      <c r="K629">
        <f t="shared" si="38"/>
        <v>5</v>
      </c>
      <c r="L629" t="str">
        <f t="shared" si="39"/>
        <v>Thu</v>
      </c>
    </row>
    <row r="630" spans="1:12" x14ac:dyDescent="0.25">
      <c r="A630" s="1">
        <v>45871</v>
      </c>
      <c r="B630" t="s">
        <v>23</v>
      </c>
      <c r="C630" t="s">
        <v>9</v>
      </c>
      <c r="D630" t="s">
        <v>19</v>
      </c>
      <c r="E630" t="s">
        <v>26</v>
      </c>
      <c r="F630">
        <v>4</v>
      </c>
      <c r="G630">
        <v>969.24</v>
      </c>
      <c r="H630">
        <v>3876.96</v>
      </c>
      <c r="I630">
        <f t="shared" si="36"/>
        <v>8</v>
      </c>
      <c r="J630" t="str">
        <f t="shared" si="37"/>
        <v>Aug</v>
      </c>
      <c r="K630">
        <f t="shared" si="38"/>
        <v>7</v>
      </c>
      <c r="L630" t="str">
        <f t="shared" si="39"/>
        <v>Sat</v>
      </c>
    </row>
    <row r="631" spans="1:12" x14ac:dyDescent="0.25">
      <c r="A631" s="1">
        <v>45901</v>
      </c>
      <c r="B631" t="s">
        <v>25</v>
      </c>
      <c r="C631" t="s">
        <v>21</v>
      </c>
      <c r="D631" t="s">
        <v>14</v>
      </c>
      <c r="E631" t="s">
        <v>18</v>
      </c>
      <c r="F631">
        <v>10</v>
      </c>
      <c r="G631">
        <v>3321.44</v>
      </c>
      <c r="H631">
        <v>33214.400000000001</v>
      </c>
      <c r="I631">
        <f t="shared" si="36"/>
        <v>9</v>
      </c>
      <c r="J631" t="str">
        <f t="shared" si="37"/>
        <v>Sep</v>
      </c>
      <c r="K631">
        <f t="shared" si="38"/>
        <v>2</v>
      </c>
      <c r="L631" t="str">
        <f t="shared" si="39"/>
        <v>Mon</v>
      </c>
    </row>
    <row r="632" spans="1:12" x14ac:dyDescent="0.25">
      <c r="A632" s="1">
        <v>45923</v>
      </c>
      <c r="B632" t="s">
        <v>25</v>
      </c>
      <c r="C632" t="s">
        <v>13</v>
      </c>
      <c r="D632" t="s">
        <v>17</v>
      </c>
      <c r="E632" t="s">
        <v>15</v>
      </c>
      <c r="F632">
        <v>2</v>
      </c>
      <c r="G632">
        <v>3342.19</v>
      </c>
      <c r="H632">
        <v>6684.38</v>
      </c>
      <c r="I632">
        <f t="shared" si="36"/>
        <v>9</v>
      </c>
      <c r="J632" t="str">
        <f t="shared" si="37"/>
        <v>Sep</v>
      </c>
      <c r="K632">
        <f t="shared" si="38"/>
        <v>3</v>
      </c>
      <c r="L632" t="str">
        <f t="shared" si="39"/>
        <v>Tue</v>
      </c>
    </row>
    <row r="633" spans="1:12" x14ac:dyDescent="0.25">
      <c r="A633" s="1">
        <v>45860</v>
      </c>
      <c r="B633" t="s">
        <v>12</v>
      </c>
      <c r="C633" t="s">
        <v>13</v>
      </c>
      <c r="D633" t="s">
        <v>10</v>
      </c>
      <c r="E633" t="s">
        <v>22</v>
      </c>
      <c r="F633">
        <v>2</v>
      </c>
      <c r="G633">
        <v>702.17</v>
      </c>
      <c r="H633">
        <v>1404.34</v>
      </c>
      <c r="I633">
        <f t="shared" si="36"/>
        <v>7</v>
      </c>
      <c r="J633" t="str">
        <f t="shared" si="37"/>
        <v>Jul</v>
      </c>
      <c r="K633">
        <f t="shared" si="38"/>
        <v>3</v>
      </c>
      <c r="L633" t="str">
        <f t="shared" si="39"/>
        <v>Tue</v>
      </c>
    </row>
    <row r="634" spans="1:12" x14ac:dyDescent="0.25">
      <c r="A634" s="1">
        <v>46002</v>
      </c>
      <c r="B634" t="s">
        <v>20</v>
      </c>
      <c r="C634" t="s">
        <v>21</v>
      </c>
      <c r="D634" t="s">
        <v>14</v>
      </c>
      <c r="E634" t="s">
        <v>18</v>
      </c>
      <c r="F634">
        <v>6</v>
      </c>
      <c r="G634">
        <v>1529.93</v>
      </c>
      <c r="H634">
        <v>9179.58</v>
      </c>
      <c r="I634">
        <f t="shared" si="36"/>
        <v>12</v>
      </c>
      <c r="J634" t="str">
        <f t="shared" si="37"/>
        <v>Dec</v>
      </c>
      <c r="K634">
        <f t="shared" si="38"/>
        <v>5</v>
      </c>
      <c r="L634" t="str">
        <f t="shared" si="39"/>
        <v>Thu</v>
      </c>
    </row>
    <row r="635" spans="1:12" x14ac:dyDescent="0.25">
      <c r="A635" s="1">
        <v>45851</v>
      </c>
      <c r="B635" t="s">
        <v>25</v>
      </c>
      <c r="C635" t="s">
        <v>13</v>
      </c>
      <c r="D635" t="s">
        <v>14</v>
      </c>
      <c r="E635" t="s">
        <v>15</v>
      </c>
      <c r="F635">
        <v>1</v>
      </c>
      <c r="G635">
        <v>3560.32</v>
      </c>
      <c r="H635">
        <v>3560.32</v>
      </c>
      <c r="I635">
        <f t="shared" si="36"/>
        <v>7</v>
      </c>
      <c r="J635" t="str">
        <f t="shared" si="37"/>
        <v>Jul</v>
      </c>
      <c r="K635">
        <f t="shared" si="38"/>
        <v>1</v>
      </c>
      <c r="L635" t="str">
        <f t="shared" si="39"/>
        <v>Sun</v>
      </c>
    </row>
    <row r="636" spans="1:12" x14ac:dyDescent="0.25">
      <c r="A636" s="1">
        <v>45812</v>
      </c>
      <c r="B636" t="s">
        <v>24</v>
      </c>
      <c r="C636" t="s">
        <v>21</v>
      </c>
      <c r="D636" t="s">
        <v>14</v>
      </c>
      <c r="E636" t="s">
        <v>15</v>
      </c>
      <c r="F636">
        <v>4</v>
      </c>
      <c r="G636">
        <v>1194.26</v>
      </c>
      <c r="H636">
        <v>4777.04</v>
      </c>
      <c r="I636">
        <f t="shared" si="36"/>
        <v>6</v>
      </c>
      <c r="J636" t="str">
        <f t="shared" si="37"/>
        <v>Jun</v>
      </c>
      <c r="K636">
        <f t="shared" si="38"/>
        <v>4</v>
      </c>
      <c r="L636" t="str">
        <f t="shared" si="39"/>
        <v>Wed</v>
      </c>
    </row>
    <row r="637" spans="1:12" x14ac:dyDescent="0.25">
      <c r="A637" s="1">
        <v>45730</v>
      </c>
      <c r="B637" t="s">
        <v>20</v>
      </c>
      <c r="C637" t="s">
        <v>9</v>
      </c>
      <c r="D637" t="s">
        <v>10</v>
      </c>
      <c r="E637" t="s">
        <v>18</v>
      </c>
      <c r="F637">
        <v>6</v>
      </c>
      <c r="G637">
        <v>1758.04</v>
      </c>
      <c r="H637">
        <v>10548.24</v>
      </c>
      <c r="I637">
        <f t="shared" si="36"/>
        <v>3</v>
      </c>
      <c r="J637" t="str">
        <f t="shared" si="37"/>
        <v>Mar</v>
      </c>
      <c r="K637">
        <f t="shared" si="38"/>
        <v>6</v>
      </c>
      <c r="L637" t="str">
        <f t="shared" si="39"/>
        <v>Fri</v>
      </c>
    </row>
    <row r="638" spans="1:12" x14ac:dyDescent="0.25">
      <c r="A638" s="1">
        <v>46013</v>
      </c>
      <c r="B638" t="s">
        <v>8</v>
      </c>
      <c r="C638" t="s">
        <v>9</v>
      </c>
      <c r="D638" t="s">
        <v>19</v>
      </c>
      <c r="E638" t="s">
        <v>15</v>
      </c>
      <c r="F638">
        <v>5</v>
      </c>
      <c r="G638">
        <v>1026.9000000000001</v>
      </c>
      <c r="H638">
        <v>5134.5</v>
      </c>
      <c r="I638">
        <f t="shared" si="36"/>
        <v>12</v>
      </c>
      <c r="J638" t="str">
        <f t="shared" si="37"/>
        <v>Dec</v>
      </c>
      <c r="K638">
        <f t="shared" si="38"/>
        <v>2</v>
      </c>
      <c r="L638" t="str">
        <f t="shared" si="39"/>
        <v>Mon</v>
      </c>
    </row>
    <row r="639" spans="1:12" x14ac:dyDescent="0.25">
      <c r="A639" s="1">
        <v>45726</v>
      </c>
      <c r="B639" t="s">
        <v>24</v>
      </c>
      <c r="C639" t="s">
        <v>13</v>
      </c>
      <c r="D639" t="s">
        <v>10</v>
      </c>
      <c r="E639" t="s">
        <v>22</v>
      </c>
      <c r="F639">
        <v>14</v>
      </c>
      <c r="G639">
        <v>1100.1099999999999</v>
      </c>
      <c r="H639">
        <v>15401.54</v>
      </c>
      <c r="I639">
        <f t="shared" si="36"/>
        <v>3</v>
      </c>
      <c r="J639" t="str">
        <f t="shared" si="37"/>
        <v>Mar</v>
      </c>
      <c r="K639">
        <f t="shared" si="38"/>
        <v>2</v>
      </c>
      <c r="L639" t="str">
        <f t="shared" si="39"/>
        <v>Mon</v>
      </c>
    </row>
    <row r="640" spans="1:12" x14ac:dyDescent="0.25">
      <c r="A640" s="1">
        <v>45873</v>
      </c>
      <c r="B640" t="s">
        <v>41</v>
      </c>
      <c r="C640" t="s">
        <v>21</v>
      </c>
      <c r="D640" t="s">
        <v>10</v>
      </c>
      <c r="E640" t="s">
        <v>22</v>
      </c>
      <c r="F640">
        <v>7</v>
      </c>
      <c r="G640">
        <v>778.62</v>
      </c>
      <c r="H640">
        <v>5450.34</v>
      </c>
      <c r="I640">
        <f t="shared" si="36"/>
        <v>8</v>
      </c>
      <c r="J640" t="str">
        <f t="shared" si="37"/>
        <v>Aug</v>
      </c>
      <c r="K640">
        <f t="shared" si="38"/>
        <v>2</v>
      </c>
      <c r="L640" t="str">
        <f t="shared" si="39"/>
        <v>Mon</v>
      </c>
    </row>
    <row r="641" spans="1:12" x14ac:dyDescent="0.25">
      <c r="A641" s="1">
        <v>45886</v>
      </c>
      <c r="B641" t="s">
        <v>16</v>
      </c>
      <c r="C641" t="s">
        <v>21</v>
      </c>
      <c r="D641" t="s">
        <v>19</v>
      </c>
      <c r="E641" t="s">
        <v>11</v>
      </c>
      <c r="F641">
        <v>1</v>
      </c>
      <c r="G641">
        <v>2615.0500000000002</v>
      </c>
      <c r="H641">
        <v>2615.0500000000002</v>
      </c>
      <c r="I641">
        <f t="shared" si="36"/>
        <v>8</v>
      </c>
      <c r="J641" t="str">
        <f t="shared" si="37"/>
        <v>Aug</v>
      </c>
      <c r="K641">
        <f t="shared" si="38"/>
        <v>1</v>
      </c>
      <c r="L641" t="str">
        <f t="shared" si="39"/>
        <v>Sun</v>
      </c>
    </row>
    <row r="642" spans="1:12" x14ac:dyDescent="0.25">
      <c r="A642" s="1">
        <v>45912</v>
      </c>
      <c r="B642" t="s">
        <v>25</v>
      </c>
      <c r="C642" t="s">
        <v>13</v>
      </c>
      <c r="D642" t="s">
        <v>19</v>
      </c>
      <c r="E642" t="s">
        <v>27</v>
      </c>
      <c r="F642">
        <v>11</v>
      </c>
      <c r="G642">
        <v>4410.5</v>
      </c>
      <c r="H642">
        <v>48515.5</v>
      </c>
      <c r="I642">
        <f t="shared" ref="I642:I705" si="40">MONTH(A642)</f>
        <v>9</v>
      </c>
      <c r="J642" t="str">
        <f t="shared" ref="J642:J705" si="41">TEXT(A642,"MMM")</f>
        <v>Sep</v>
      </c>
      <c r="K642">
        <f t="shared" ref="K642:K705" si="42">WEEKDAY(A642,1)</f>
        <v>6</v>
      </c>
      <c r="L642" t="str">
        <f t="shared" ref="L642:L705" si="43">TEXT(K642,"DDD")</f>
        <v>Fri</v>
      </c>
    </row>
    <row r="643" spans="1:12" x14ac:dyDescent="0.25">
      <c r="A643" s="1">
        <v>45747</v>
      </c>
      <c r="B643" t="s">
        <v>12</v>
      </c>
      <c r="C643" t="s">
        <v>13</v>
      </c>
      <c r="D643" t="s">
        <v>17</v>
      </c>
      <c r="E643" t="s">
        <v>11</v>
      </c>
      <c r="F643">
        <v>3</v>
      </c>
      <c r="G643">
        <v>938.43</v>
      </c>
      <c r="H643">
        <v>2815.29</v>
      </c>
      <c r="I643">
        <f t="shared" si="40"/>
        <v>3</v>
      </c>
      <c r="J643" t="str">
        <f t="shared" si="41"/>
        <v>Mar</v>
      </c>
      <c r="K643">
        <f t="shared" si="42"/>
        <v>2</v>
      </c>
      <c r="L643" t="str">
        <f t="shared" si="43"/>
        <v>Mon</v>
      </c>
    </row>
    <row r="644" spans="1:12" x14ac:dyDescent="0.25">
      <c r="A644" s="1">
        <v>45909</v>
      </c>
      <c r="B644" t="s">
        <v>39</v>
      </c>
      <c r="C644" t="s">
        <v>13</v>
      </c>
      <c r="D644" t="s">
        <v>19</v>
      </c>
      <c r="E644" t="s">
        <v>11</v>
      </c>
      <c r="F644">
        <v>19</v>
      </c>
      <c r="G644">
        <v>14154.11</v>
      </c>
      <c r="H644">
        <v>268928.09000000003</v>
      </c>
      <c r="I644">
        <f t="shared" si="40"/>
        <v>9</v>
      </c>
      <c r="J644" t="str">
        <f t="shared" si="41"/>
        <v>Sep</v>
      </c>
      <c r="K644">
        <f t="shared" si="42"/>
        <v>3</v>
      </c>
      <c r="L644" t="str">
        <f t="shared" si="43"/>
        <v>Tue</v>
      </c>
    </row>
    <row r="645" spans="1:12" x14ac:dyDescent="0.25">
      <c r="A645" s="1">
        <v>45960</v>
      </c>
      <c r="B645" t="s">
        <v>24</v>
      </c>
      <c r="C645" t="s">
        <v>13</v>
      </c>
      <c r="D645" t="s">
        <v>14</v>
      </c>
      <c r="E645" t="s">
        <v>26</v>
      </c>
      <c r="F645">
        <v>17</v>
      </c>
      <c r="G645">
        <v>1157.3800000000001</v>
      </c>
      <c r="H645">
        <v>19675.46</v>
      </c>
      <c r="I645">
        <f t="shared" si="40"/>
        <v>10</v>
      </c>
      <c r="J645" t="str">
        <f t="shared" si="41"/>
        <v>Oct</v>
      </c>
      <c r="K645">
        <f t="shared" si="42"/>
        <v>5</v>
      </c>
      <c r="L645" t="str">
        <f t="shared" si="43"/>
        <v>Thu</v>
      </c>
    </row>
    <row r="646" spans="1:12" x14ac:dyDescent="0.25">
      <c r="A646" s="1">
        <v>45839</v>
      </c>
      <c r="B646" t="s">
        <v>12</v>
      </c>
      <c r="C646" t="s">
        <v>13</v>
      </c>
      <c r="D646" t="s">
        <v>10</v>
      </c>
      <c r="E646" t="s">
        <v>22</v>
      </c>
      <c r="F646">
        <v>10</v>
      </c>
      <c r="G646">
        <v>840.92</v>
      </c>
      <c r="H646">
        <v>8409.2000000000007</v>
      </c>
      <c r="I646">
        <f t="shared" si="40"/>
        <v>7</v>
      </c>
      <c r="J646" t="str">
        <f t="shared" si="41"/>
        <v>Jul</v>
      </c>
      <c r="K646">
        <f t="shared" si="42"/>
        <v>3</v>
      </c>
      <c r="L646" t="str">
        <f t="shared" si="43"/>
        <v>Tue</v>
      </c>
    </row>
    <row r="647" spans="1:12" x14ac:dyDescent="0.25">
      <c r="A647" s="1">
        <v>45724</v>
      </c>
      <c r="B647" t="s">
        <v>23</v>
      </c>
      <c r="C647" t="s">
        <v>13</v>
      </c>
      <c r="D647" t="s">
        <v>14</v>
      </c>
      <c r="E647" t="s">
        <v>26</v>
      </c>
      <c r="F647">
        <v>11</v>
      </c>
      <c r="G647">
        <v>837.84</v>
      </c>
      <c r="H647">
        <v>9216.24</v>
      </c>
      <c r="I647">
        <f t="shared" si="40"/>
        <v>3</v>
      </c>
      <c r="J647" t="str">
        <f t="shared" si="41"/>
        <v>Mar</v>
      </c>
      <c r="K647">
        <f t="shared" si="42"/>
        <v>7</v>
      </c>
      <c r="L647" t="str">
        <f t="shared" si="43"/>
        <v>Sat</v>
      </c>
    </row>
    <row r="648" spans="1:12" x14ac:dyDescent="0.25">
      <c r="A648" s="1">
        <v>45705</v>
      </c>
      <c r="B648" t="s">
        <v>23</v>
      </c>
      <c r="C648" t="s">
        <v>13</v>
      </c>
      <c r="D648" t="s">
        <v>19</v>
      </c>
      <c r="E648" t="s">
        <v>11</v>
      </c>
      <c r="F648">
        <v>14</v>
      </c>
      <c r="G648">
        <v>738.31</v>
      </c>
      <c r="H648">
        <v>10336.34</v>
      </c>
      <c r="I648">
        <f t="shared" si="40"/>
        <v>2</v>
      </c>
      <c r="J648" t="str">
        <f t="shared" si="41"/>
        <v>Feb</v>
      </c>
      <c r="K648">
        <f t="shared" si="42"/>
        <v>2</v>
      </c>
      <c r="L648" t="str">
        <f t="shared" si="43"/>
        <v>Mon</v>
      </c>
    </row>
    <row r="649" spans="1:12" x14ac:dyDescent="0.25">
      <c r="A649" s="1">
        <v>45685</v>
      </c>
      <c r="B649" t="s">
        <v>24</v>
      </c>
      <c r="C649" t="s">
        <v>13</v>
      </c>
      <c r="D649" t="s">
        <v>10</v>
      </c>
      <c r="E649" t="s">
        <v>22</v>
      </c>
      <c r="F649">
        <v>19</v>
      </c>
      <c r="G649">
        <v>965.84</v>
      </c>
      <c r="H649">
        <v>18350.96</v>
      </c>
      <c r="I649">
        <f t="shared" si="40"/>
        <v>1</v>
      </c>
      <c r="J649" t="str">
        <f t="shared" si="41"/>
        <v>Jan</v>
      </c>
      <c r="K649">
        <f t="shared" si="42"/>
        <v>3</v>
      </c>
      <c r="L649" t="str">
        <f t="shared" si="43"/>
        <v>Tue</v>
      </c>
    </row>
    <row r="650" spans="1:12" x14ac:dyDescent="0.25">
      <c r="A650" s="1">
        <v>45707</v>
      </c>
      <c r="B650" t="s">
        <v>8</v>
      </c>
      <c r="C650" t="s">
        <v>21</v>
      </c>
      <c r="D650" t="s">
        <v>17</v>
      </c>
      <c r="E650" t="s">
        <v>26</v>
      </c>
      <c r="F650">
        <v>6</v>
      </c>
      <c r="G650">
        <v>1267.07</v>
      </c>
      <c r="H650">
        <v>7602.42</v>
      </c>
      <c r="I650">
        <f t="shared" si="40"/>
        <v>2</v>
      </c>
      <c r="J650" t="str">
        <f t="shared" si="41"/>
        <v>Feb</v>
      </c>
      <c r="K650">
        <f t="shared" si="42"/>
        <v>4</v>
      </c>
      <c r="L650" t="str">
        <f t="shared" si="43"/>
        <v>Wed</v>
      </c>
    </row>
    <row r="651" spans="1:12" x14ac:dyDescent="0.25">
      <c r="A651" s="1">
        <v>45859</v>
      </c>
      <c r="B651" t="s">
        <v>16</v>
      </c>
      <c r="C651" t="s">
        <v>13</v>
      </c>
      <c r="D651" t="s">
        <v>10</v>
      </c>
      <c r="E651" t="s">
        <v>26</v>
      </c>
      <c r="F651">
        <v>11</v>
      </c>
      <c r="G651">
        <v>2001.04</v>
      </c>
      <c r="H651">
        <v>22011.439999999999</v>
      </c>
      <c r="I651">
        <f t="shared" si="40"/>
        <v>7</v>
      </c>
      <c r="J651" t="str">
        <f t="shared" si="41"/>
        <v>Jul</v>
      </c>
      <c r="K651">
        <f t="shared" si="42"/>
        <v>2</v>
      </c>
      <c r="L651" t="str">
        <f t="shared" si="43"/>
        <v>Mon</v>
      </c>
    </row>
    <row r="652" spans="1:12" x14ac:dyDescent="0.25">
      <c r="A652" s="1">
        <v>45789</v>
      </c>
      <c r="B652" t="s">
        <v>20</v>
      </c>
      <c r="C652" t="s">
        <v>9</v>
      </c>
      <c r="D652" t="s">
        <v>10</v>
      </c>
      <c r="E652" t="s">
        <v>22</v>
      </c>
      <c r="F652">
        <v>9</v>
      </c>
      <c r="G652">
        <v>1112.82</v>
      </c>
      <c r="H652">
        <v>10015.379999999999</v>
      </c>
      <c r="I652">
        <f t="shared" si="40"/>
        <v>5</v>
      </c>
      <c r="J652" t="str">
        <f t="shared" si="41"/>
        <v>May</v>
      </c>
      <c r="K652">
        <f t="shared" si="42"/>
        <v>2</v>
      </c>
      <c r="L652" t="str">
        <f t="shared" si="43"/>
        <v>Mon</v>
      </c>
    </row>
    <row r="653" spans="1:12" x14ac:dyDescent="0.25">
      <c r="A653" s="1">
        <v>45995</v>
      </c>
      <c r="B653" t="s">
        <v>39</v>
      </c>
      <c r="C653" t="s">
        <v>13</v>
      </c>
      <c r="D653" t="s">
        <v>19</v>
      </c>
      <c r="E653" t="s">
        <v>15</v>
      </c>
      <c r="F653">
        <v>15</v>
      </c>
      <c r="G653">
        <v>12337.5</v>
      </c>
      <c r="H653">
        <v>185062.5</v>
      </c>
      <c r="I653">
        <f t="shared" si="40"/>
        <v>12</v>
      </c>
      <c r="J653" t="str">
        <f t="shared" si="41"/>
        <v>Dec</v>
      </c>
      <c r="K653">
        <f t="shared" si="42"/>
        <v>5</v>
      </c>
      <c r="L653" t="str">
        <f t="shared" si="43"/>
        <v>Thu</v>
      </c>
    </row>
    <row r="654" spans="1:12" x14ac:dyDescent="0.25">
      <c r="A654" s="1">
        <v>45870</v>
      </c>
      <c r="B654" t="s">
        <v>16</v>
      </c>
      <c r="C654" t="s">
        <v>13</v>
      </c>
      <c r="D654" t="s">
        <v>17</v>
      </c>
      <c r="E654" t="s">
        <v>15</v>
      </c>
      <c r="F654">
        <v>14</v>
      </c>
      <c r="G654">
        <v>2004.59</v>
      </c>
      <c r="H654">
        <v>28064.26</v>
      </c>
      <c r="I654">
        <f t="shared" si="40"/>
        <v>8</v>
      </c>
      <c r="J654" t="str">
        <f t="shared" si="41"/>
        <v>Aug</v>
      </c>
      <c r="K654">
        <f t="shared" si="42"/>
        <v>6</v>
      </c>
      <c r="L654" t="str">
        <f t="shared" si="43"/>
        <v>Fri</v>
      </c>
    </row>
    <row r="655" spans="1:12" x14ac:dyDescent="0.25">
      <c r="A655" s="1">
        <v>45768</v>
      </c>
      <c r="B655" t="s">
        <v>39</v>
      </c>
      <c r="C655" t="s">
        <v>13</v>
      </c>
      <c r="D655" t="s">
        <v>10</v>
      </c>
      <c r="E655" t="s">
        <v>11</v>
      </c>
      <c r="F655">
        <v>15</v>
      </c>
      <c r="G655">
        <v>18043.39</v>
      </c>
      <c r="H655">
        <v>270650.84999999998</v>
      </c>
      <c r="I655">
        <f t="shared" si="40"/>
        <v>4</v>
      </c>
      <c r="J655" t="str">
        <f t="shared" si="41"/>
        <v>Apr</v>
      </c>
      <c r="K655">
        <f t="shared" si="42"/>
        <v>2</v>
      </c>
      <c r="L655" t="str">
        <f t="shared" si="43"/>
        <v>Mon</v>
      </c>
    </row>
    <row r="656" spans="1:12" x14ac:dyDescent="0.25">
      <c r="A656" s="1">
        <v>45774</v>
      </c>
      <c r="B656" t="s">
        <v>8</v>
      </c>
      <c r="C656" t="s">
        <v>21</v>
      </c>
      <c r="D656" t="s">
        <v>14</v>
      </c>
      <c r="E656" t="s">
        <v>11</v>
      </c>
      <c r="F656">
        <v>13</v>
      </c>
      <c r="G656">
        <v>950.66</v>
      </c>
      <c r="H656">
        <v>12358.58</v>
      </c>
      <c r="I656">
        <f t="shared" si="40"/>
        <v>4</v>
      </c>
      <c r="J656" t="str">
        <f t="shared" si="41"/>
        <v>Apr</v>
      </c>
      <c r="K656">
        <f t="shared" si="42"/>
        <v>1</v>
      </c>
      <c r="L656" t="str">
        <f t="shared" si="43"/>
        <v>Sun</v>
      </c>
    </row>
    <row r="657" spans="1:12" x14ac:dyDescent="0.25">
      <c r="A657" s="1">
        <v>45949</v>
      </c>
      <c r="B657" t="s">
        <v>39</v>
      </c>
      <c r="C657" t="s">
        <v>21</v>
      </c>
      <c r="D657" t="s">
        <v>14</v>
      </c>
      <c r="E657" t="s">
        <v>18</v>
      </c>
      <c r="F657">
        <v>11</v>
      </c>
      <c r="G657">
        <v>15835.56</v>
      </c>
      <c r="H657">
        <v>174191.16</v>
      </c>
      <c r="I657">
        <f t="shared" si="40"/>
        <v>10</v>
      </c>
      <c r="J657" t="str">
        <f t="shared" si="41"/>
        <v>Oct</v>
      </c>
      <c r="K657">
        <f t="shared" si="42"/>
        <v>1</v>
      </c>
      <c r="L657" t="str">
        <f t="shared" si="43"/>
        <v>Sun</v>
      </c>
    </row>
    <row r="658" spans="1:12" x14ac:dyDescent="0.25">
      <c r="A658" s="1">
        <v>45955</v>
      </c>
      <c r="B658" t="s">
        <v>25</v>
      </c>
      <c r="C658" t="s">
        <v>9</v>
      </c>
      <c r="D658" t="s">
        <v>19</v>
      </c>
      <c r="E658" t="s">
        <v>26</v>
      </c>
      <c r="F658">
        <v>17</v>
      </c>
      <c r="G658">
        <v>3724.38</v>
      </c>
      <c r="H658">
        <v>63314.46</v>
      </c>
      <c r="I658">
        <f t="shared" si="40"/>
        <v>10</v>
      </c>
      <c r="J658" t="str">
        <f t="shared" si="41"/>
        <v>Oct</v>
      </c>
      <c r="K658">
        <f t="shared" si="42"/>
        <v>7</v>
      </c>
      <c r="L658" t="str">
        <f t="shared" si="43"/>
        <v>Sat</v>
      </c>
    </row>
    <row r="659" spans="1:12" x14ac:dyDescent="0.25">
      <c r="A659" s="1">
        <v>45772</v>
      </c>
      <c r="B659" t="s">
        <v>20</v>
      </c>
      <c r="C659" t="s">
        <v>21</v>
      </c>
      <c r="D659" t="s">
        <v>14</v>
      </c>
      <c r="E659" t="s">
        <v>11</v>
      </c>
      <c r="F659">
        <v>7</v>
      </c>
      <c r="G659">
        <v>1501.42</v>
      </c>
      <c r="H659">
        <v>10509.94</v>
      </c>
      <c r="I659">
        <f t="shared" si="40"/>
        <v>4</v>
      </c>
      <c r="J659" t="str">
        <f t="shared" si="41"/>
        <v>Apr</v>
      </c>
      <c r="K659">
        <f t="shared" si="42"/>
        <v>6</v>
      </c>
      <c r="L659" t="str">
        <f t="shared" si="43"/>
        <v>Fri</v>
      </c>
    </row>
    <row r="660" spans="1:12" x14ac:dyDescent="0.25">
      <c r="A660" s="1">
        <v>45895</v>
      </c>
      <c r="B660" t="s">
        <v>41</v>
      </c>
      <c r="C660" t="s">
        <v>13</v>
      </c>
      <c r="D660" t="s">
        <v>17</v>
      </c>
      <c r="E660" t="s">
        <v>22</v>
      </c>
      <c r="F660">
        <v>3</v>
      </c>
      <c r="G660">
        <v>492.2</v>
      </c>
      <c r="H660">
        <v>1476.6</v>
      </c>
      <c r="I660">
        <f t="shared" si="40"/>
        <v>8</v>
      </c>
      <c r="J660" t="str">
        <f t="shared" si="41"/>
        <v>Aug</v>
      </c>
      <c r="K660">
        <f t="shared" si="42"/>
        <v>3</v>
      </c>
      <c r="L660" t="str">
        <f t="shared" si="43"/>
        <v>Tue</v>
      </c>
    </row>
    <row r="661" spans="1:12" x14ac:dyDescent="0.25">
      <c r="A661" s="1">
        <v>45949</v>
      </c>
      <c r="B661" t="s">
        <v>12</v>
      </c>
      <c r="C661" t="s">
        <v>9</v>
      </c>
      <c r="D661" t="s">
        <v>10</v>
      </c>
      <c r="E661" t="s">
        <v>22</v>
      </c>
      <c r="F661">
        <v>8</v>
      </c>
      <c r="G661">
        <v>1138.02</v>
      </c>
      <c r="H661">
        <v>9104.16</v>
      </c>
      <c r="I661">
        <f t="shared" si="40"/>
        <v>10</v>
      </c>
      <c r="J661" t="str">
        <f t="shared" si="41"/>
        <v>Oct</v>
      </c>
      <c r="K661">
        <f t="shared" si="42"/>
        <v>1</v>
      </c>
      <c r="L661" t="str">
        <f t="shared" si="43"/>
        <v>Sun</v>
      </c>
    </row>
    <row r="662" spans="1:12" x14ac:dyDescent="0.25">
      <c r="A662" s="1">
        <v>45878</v>
      </c>
      <c r="B662" t="s">
        <v>8</v>
      </c>
      <c r="C662" t="s">
        <v>13</v>
      </c>
      <c r="D662" t="s">
        <v>17</v>
      </c>
      <c r="E662" t="s">
        <v>18</v>
      </c>
      <c r="F662">
        <v>17</v>
      </c>
      <c r="G662">
        <v>1321.9</v>
      </c>
      <c r="H662">
        <v>22472.3</v>
      </c>
      <c r="I662">
        <f t="shared" si="40"/>
        <v>8</v>
      </c>
      <c r="J662" t="str">
        <f t="shared" si="41"/>
        <v>Aug</v>
      </c>
      <c r="K662">
        <f t="shared" si="42"/>
        <v>7</v>
      </c>
      <c r="L662" t="str">
        <f t="shared" si="43"/>
        <v>Sat</v>
      </c>
    </row>
    <row r="663" spans="1:12" x14ac:dyDescent="0.25">
      <c r="A663" s="1">
        <v>45954</v>
      </c>
      <c r="B663" t="s">
        <v>23</v>
      </c>
      <c r="C663" t="s">
        <v>21</v>
      </c>
      <c r="D663" t="s">
        <v>10</v>
      </c>
      <c r="E663" t="s">
        <v>26</v>
      </c>
      <c r="F663">
        <v>18</v>
      </c>
      <c r="G663">
        <v>759.78</v>
      </c>
      <c r="H663">
        <v>13676.04</v>
      </c>
      <c r="I663">
        <f t="shared" si="40"/>
        <v>10</v>
      </c>
      <c r="J663" t="str">
        <f t="shared" si="41"/>
        <v>Oct</v>
      </c>
      <c r="K663">
        <f t="shared" si="42"/>
        <v>6</v>
      </c>
      <c r="L663" t="str">
        <f t="shared" si="43"/>
        <v>Fri</v>
      </c>
    </row>
    <row r="664" spans="1:12" x14ac:dyDescent="0.25">
      <c r="A664" s="1">
        <v>45715</v>
      </c>
      <c r="B664" t="s">
        <v>16</v>
      </c>
      <c r="C664" t="s">
        <v>13</v>
      </c>
      <c r="D664" t="s">
        <v>19</v>
      </c>
      <c r="E664" t="s">
        <v>26</v>
      </c>
      <c r="F664">
        <v>6</v>
      </c>
      <c r="G664">
        <v>3163.58</v>
      </c>
      <c r="H664">
        <v>18981.48</v>
      </c>
      <c r="I664">
        <f t="shared" si="40"/>
        <v>2</v>
      </c>
      <c r="J664" t="str">
        <f t="shared" si="41"/>
        <v>Feb</v>
      </c>
      <c r="K664">
        <f t="shared" si="42"/>
        <v>5</v>
      </c>
      <c r="L664" t="str">
        <f t="shared" si="43"/>
        <v>Thu</v>
      </c>
    </row>
    <row r="665" spans="1:12" x14ac:dyDescent="0.25">
      <c r="A665" s="1">
        <v>45709</v>
      </c>
      <c r="B665" t="s">
        <v>24</v>
      </c>
      <c r="C665" t="s">
        <v>13</v>
      </c>
      <c r="D665" t="s">
        <v>17</v>
      </c>
      <c r="E665" t="s">
        <v>22</v>
      </c>
      <c r="F665">
        <v>8</v>
      </c>
      <c r="G665">
        <v>768.66</v>
      </c>
      <c r="H665">
        <v>6149.28</v>
      </c>
      <c r="I665">
        <f t="shared" si="40"/>
        <v>2</v>
      </c>
      <c r="J665" t="str">
        <f t="shared" si="41"/>
        <v>Feb</v>
      </c>
      <c r="K665">
        <f t="shared" si="42"/>
        <v>6</v>
      </c>
      <c r="L665" t="str">
        <f t="shared" si="43"/>
        <v>Fri</v>
      </c>
    </row>
    <row r="666" spans="1:12" x14ac:dyDescent="0.25">
      <c r="A666" s="1">
        <v>45892</v>
      </c>
      <c r="B666" t="s">
        <v>41</v>
      </c>
      <c r="C666" t="s">
        <v>13</v>
      </c>
      <c r="D666" t="s">
        <v>19</v>
      </c>
      <c r="E666" t="s">
        <v>11</v>
      </c>
      <c r="F666">
        <v>14</v>
      </c>
      <c r="G666">
        <v>647.01</v>
      </c>
      <c r="H666">
        <v>9058.14</v>
      </c>
      <c r="I666">
        <f t="shared" si="40"/>
        <v>8</v>
      </c>
      <c r="J666" t="str">
        <f t="shared" si="41"/>
        <v>Aug</v>
      </c>
      <c r="K666">
        <f t="shared" si="42"/>
        <v>7</v>
      </c>
      <c r="L666" t="str">
        <f t="shared" si="43"/>
        <v>Sat</v>
      </c>
    </row>
    <row r="667" spans="1:12" x14ac:dyDescent="0.25">
      <c r="A667" s="1">
        <v>45749</v>
      </c>
      <c r="B667" t="s">
        <v>41</v>
      </c>
      <c r="C667" t="s">
        <v>21</v>
      </c>
      <c r="D667" t="s">
        <v>10</v>
      </c>
      <c r="E667" t="s">
        <v>18</v>
      </c>
      <c r="F667">
        <v>17</v>
      </c>
      <c r="G667">
        <v>547.33000000000004</v>
      </c>
      <c r="H667">
        <v>9304.61</v>
      </c>
      <c r="I667">
        <f t="shared" si="40"/>
        <v>4</v>
      </c>
      <c r="J667" t="str">
        <f t="shared" si="41"/>
        <v>Apr</v>
      </c>
      <c r="K667">
        <f t="shared" si="42"/>
        <v>4</v>
      </c>
      <c r="L667" t="str">
        <f t="shared" si="43"/>
        <v>Wed</v>
      </c>
    </row>
    <row r="668" spans="1:12" x14ac:dyDescent="0.25">
      <c r="A668" s="1">
        <v>45670</v>
      </c>
      <c r="B668" t="s">
        <v>8</v>
      </c>
      <c r="C668" t="s">
        <v>9</v>
      </c>
      <c r="D668" t="s">
        <v>14</v>
      </c>
      <c r="E668" t="s">
        <v>18</v>
      </c>
      <c r="F668">
        <v>18</v>
      </c>
      <c r="G668">
        <v>1086.7</v>
      </c>
      <c r="H668">
        <v>19560.599999999999</v>
      </c>
      <c r="I668">
        <f t="shared" si="40"/>
        <v>1</v>
      </c>
      <c r="J668" t="str">
        <f t="shared" si="41"/>
        <v>Jan</v>
      </c>
      <c r="K668">
        <f t="shared" si="42"/>
        <v>2</v>
      </c>
      <c r="L668" t="str">
        <f t="shared" si="43"/>
        <v>Mon</v>
      </c>
    </row>
    <row r="669" spans="1:12" x14ac:dyDescent="0.25">
      <c r="A669" s="1">
        <v>46000</v>
      </c>
      <c r="B669" t="s">
        <v>41</v>
      </c>
      <c r="C669" t="s">
        <v>13</v>
      </c>
      <c r="D669" t="s">
        <v>14</v>
      </c>
      <c r="E669" t="s">
        <v>26</v>
      </c>
      <c r="F669">
        <v>11</v>
      </c>
      <c r="G669">
        <v>622.83000000000004</v>
      </c>
      <c r="H669">
        <v>6851.13</v>
      </c>
      <c r="I669">
        <f t="shared" si="40"/>
        <v>12</v>
      </c>
      <c r="J669" t="str">
        <f t="shared" si="41"/>
        <v>Dec</v>
      </c>
      <c r="K669">
        <f t="shared" si="42"/>
        <v>3</v>
      </c>
      <c r="L669" t="str">
        <f t="shared" si="43"/>
        <v>Tue</v>
      </c>
    </row>
    <row r="670" spans="1:12" x14ac:dyDescent="0.25">
      <c r="A670" s="1">
        <v>45752</v>
      </c>
      <c r="B670" t="s">
        <v>24</v>
      </c>
      <c r="C670" t="s">
        <v>21</v>
      </c>
      <c r="D670" t="s">
        <v>14</v>
      </c>
      <c r="E670" t="s">
        <v>11</v>
      </c>
      <c r="F670">
        <v>12</v>
      </c>
      <c r="G670">
        <v>864.18</v>
      </c>
      <c r="H670">
        <v>10370.16</v>
      </c>
      <c r="I670">
        <f t="shared" si="40"/>
        <v>4</v>
      </c>
      <c r="J670" t="str">
        <f t="shared" si="41"/>
        <v>Apr</v>
      </c>
      <c r="K670">
        <f t="shared" si="42"/>
        <v>7</v>
      </c>
      <c r="L670" t="str">
        <f t="shared" si="43"/>
        <v>Sat</v>
      </c>
    </row>
    <row r="671" spans="1:12" x14ac:dyDescent="0.25">
      <c r="A671" s="1">
        <v>45999</v>
      </c>
      <c r="B671" t="s">
        <v>39</v>
      </c>
      <c r="C671" t="s">
        <v>9</v>
      </c>
      <c r="D671" t="s">
        <v>10</v>
      </c>
      <c r="E671" t="s">
        <v>26</v>
      </c>
      <c r="F671">
        <v>10</v>
      </c>
      <c r="G671">
        <v>13037.27</v>
      </c>
      <c r="H671">
        <v>130372.7</v>
      </c>
      <c r="I671">
        <f t="shared" si="40"/>
        <v>12</v>
      </c>
      <c r="J671" t="str">
        <f t="shared" si="41"/>
        <v>Dec</v>
      </c>
      <c r="K671">
        <f t="shared" si="42"/>
        <v>2</v>
      </c>
      <c r="L671" t="str">
        <f t="shared" si="43"/>
        <v>Mon</v>
      </c>
    </row>
    <row r="672" spans="1:12" x14ac:dyDescent="0.25">
      <c r="A672" s="1">
        <v>45882</v>
      </c>
      <c r="B672" t="s">
        <v>40</v>
      </c>
      <c r="C672" t="s">
        <v>21</v>
      </c>
      <c r="D672" t="s">
        <v>17</v>
      </c>
      <c r="E672" t="s">
        <v>22</v>
      </c>
      <c r="F672">
        <v>16</v>
      </c>
      <c r="G672">
        <v>5141.71</v>
      </c>
      <c r="H672">
        <v>82267.360000000001</v>
      </c>
      <c r="I672">
        <f t="shared" si="40"/>
        <v>8</v>
      </c>
      <c r="J672" t="str">
        <f t="shared" si="41"/>
        <v>Aug</v>
      </c>
      <c r="K672">
        <f t="shared" si="42"/>
        <v>4</v>
      </c>
      <c r="L672" t="str">
        <f t="shared" si="43"/>
        <v>Wed</v>
      </c>
    </row>
    <row r="673" spans="1:12" x14ac:dyDescent="0.25">
      <c r="A673" s="1">
        <v>45762</v>
      </c>
      <c r="B673" t="s">
        <v>20</v>
      </c>
      <c r="C673" t="s">
        <v>13</v>
      </c>
      <c r="D673" t="s">
        <v>17</v>
      </c>
      <c r="E673" t="s">
        <v>22</v>
      </c>
      <c r="F673">
        <v>9</v>
      </c>
      <c r="G673">
        <v>1896.38</v>
      </c>
      <c r="H673">
        <v>17067.419999999998</v>
      </c>
      <c r="I673">
        <f t="shared" si="40"/>
        <v>4</v>
      </c>
      <c r="J673" t="str">
        <f t="shared" si="41"/>
        <v>Apr</v>
      </c>
      <c r="K673">
        <f t="shared" si="42"/>
        <v>3</v>
      </c>
      <c r="L673" t="str">
        <f t="shared" si="43"/>
        <v>Tue</v>
      </c>
    </row>
    <row r="674" spans="1:12" x14ac:dyDescent="0.25">
      <c r="A674" s="1">
        <v>45874</v>
      </c>
      <c r="B674" t="s">
        <v>24</v>
      </c>
      <c r="C674" t="s">
        <v>21</v>
      </c>
      <c r="D674" t="s">
        <v>17</v>
      </c>
      <c r="E674" t="s">
        <v>22</v>
      </c>
      <c r="F674">
        <v>12</v>
      </c>
      <c r="G674">
        <v>989.91</v>
      </c>
      <c r="H674">
        <v>11878.92</v>
      </c>
      <c r="I674">
        <f t="shared" si="40"/>
        <v>8</v>
      </c>
      <c r="J674" t="str">
        <f t="shared" si="41"/>
        <v>Aug</v>
      </c>
      <c r="K674">
        <f t="shared" si="42"/>
        <v>3</v>
      </c>
      <c r="L674" t="str">
        <f t="shared" si="43"/>
        <v>Tue</v>
      </c>
    </row>
    <row r="675" spans="1:12" x14ac:dyDescent="0.25">
      <c r="A675" s="1">
        <v>45867</v>
      </c>
      <c r="B675" t="s">
        <v>20</v>
      </c>
      <c r="C675" t="s">
        <v>9</v>
      </c>
      <c r="D675" t="s">
        <v>10</v>
      </c>
      <c r="E675" t="s">
        <v>26</v>
      </c>
      <c r="F675">
        <v>16</v>
      </c>
      <c r="G675">
        <v>1345.41</v>
      </c>
      <c r="H675">
        <v>21526.560000000001</v>
      </c>
      <c r="I675">
        <f t="shared" si="40"/>
        <v>7</v>
      </c>
      <c r="J675" t="str">
        <f t="shared" si="41"/>
        <v>Jul</v>
      </c>
      <c r="K675">
        <f t="shared" si="42"/>
        <v>3</v>
      </c>
      <c r="L675" t="str">
        <f t="shared" si="43"/>
        <v>Tue</v>
      </c>
    </row>
    <row r="676" spans="1:12" x14ac:dyDescent="0.25">
      <c r="A676" s="1">
        <v>45852</v>
      </c>
      <c r="B676" t="s">
        <v>40</v>
      </c>
      <c r="C676" t="s">
        <v>21</v>
      </c>
      <c r="D676" t="s">
        <v>19</v>
      </c>
      <c r="E676" t="s">
        <v>15</v>
      </c>
      <c r="F676">
        <v>13</v>
      </c>
      <c r="G676">
        <v>6354.33</v>
      </c>
      <c r="H676">
        <v>82606.289999999994</v>
      </c>
      <c r="I676">
        <f t="shared" si="40"/>
        <v>7</v>
      </c>
      <c r="J676" t="str">
        <f t="shared" si="41"/>
        <v>Jul</v>
      </c>
      <c r="K676">
        <f t="shared" si="42"/>
        <v>2</v>
      </c>
      <c r="L676" t="str">
        <f t="shared" si="43"/>
        <v>Mon</v>
      </c>
    </row>
    <row r="677" spans="1:12" x14ac:dyDescent="0.25">
      <c r="A677" s="1">
        <v>45885</v>
      </c>
      <c r="B677" t="s">
        <v>25</v>
      </c>
      <c r="C677" t="s">
        <v>13</v>
      </c>
      <c r="D677" t="s">
        <v>17</v>
      </c>
      <c r="E677" t="s">
        <v>22</v>
      </c>
      <c r="F677">
        <v>14</v>
      </c>
      <c r="G677">
        <v>3803.97</v>
      </c>
      <c r="H677">
        <v>53255.58</v>
      </c>
      <c r="I677">
        <f t="shared" si="40"/>
        <v>8</v>
      </c>
      <c r="J677" t="str">
        <f t="shared" si="41"/>
        <v>Aug</v>
      </c>
      <c r="K677">
        <f t="shared" si="42"/>
        <v>7</v>
      </c>
      <c r="L677" t="str">
        <f t="shared" si="43"/>
        <v>Sat</v>
      </c>
    </row>
    <row r="678" spans="1:12" x14ac:dyDescent="0.25">
      <c r="A678" s="1">
        <v>45788</v>
      </c>
      <c r="B678" t="s">
        <v>20</v>
      </c>
      <c r="C678" t="s">
        <v>9</v>
      </c>
      <c r="D678" t="s">
        <v>17</v>
      </c>
      <c r="E678" t="s">
        <v>11</v>
      </c>
      <c r="F678">
        <v>6</v>
      </c>
      <c r="G678">
        <v>1168.49</v>
      </c>
      <c r="H678">
        <v>7010.94</v>
      </c>
      <c r="I678">
        <f t="shared" si="40"/>
        <v>5</v>
      </c>
      <c r="J678" t="str">
        <f t="shared" si="41"/>
        <v>May</v>
      </c>
      <c r="K678">
        <f t="shared" si="42"/>
        <v>1</v>
      </c>
      <c r="L678" t="str">
        <f t="shared" si="43"/>
        <v>Sun</v>
      </c>
    </row>
    <row r="679" spans="1:12" x14ac:dyDescent="0.25">
      <c r="A679" s="1">
        <v>45776</v>
      </c>
      <c r="B679" t="s">
        <v>24</v>
      </c>
      <c r="C679" t="s">
        <v>21</v>
      </c>
      <c r="D679" t="s">
        <v>10</v>
      </c>
      <c r="E679" t="s">
        <v>18</v>
      </c>
      <c r="F679">
        <v>3</v>
      </c>
      <c r="G679">
        <v>809.7</v>
      </c>
      <c r="H679">
        <v>2429.1</v>
      </c>
      <c r="I679">
        <f t="shared" si="40"/>
        <v>4</v>
      </c>
      <c r="J679" t="str">
        <f t="shared" si="41"/>
        <v>Apr</v>
      </c>
      <c r="K679">
        <f t="shared" si="42"/>
        <v>3</v>
      </c>
      <c r="L679" t="str">
        <f t="shared" si="43"/>
        <v>Tue</v>
      </c>
    </row>
    <row r="680" spans="1:12" x14ac:dyDescent="0.25">
      <c r="A680" s="1">
        <v>45882</v>
      </c>
      <c r="B680" t="s">
        <v>25</v>
      </c>
      <c r="C680" t="s">
        <v>9</v>
      </c>
      <c r="D680" t="s">
        <v>14</v>
      </c>
      <c r="E680" t="s">
        <v>18</v>
      </c>
      <c r="F680">
        <v>6</v>
      </c>
      <c r="G680">
        <v>3236.55</v>
      </c>
      <c r="H680">
        <v>19419.3</v>
      </c>
      <c r="I680">
        <f t="shared" si="40"/>
        <v>8</v>
      </c>
      <c r="J680" t="str">
        <f t="shared" si="41"/>
        <v>Aug</v>
      </c>
      <c r="K680">
        <f t="shared" si="42"/>
        <v>4</v>
      </c>
      <c r="L680" t="str">
        <f t="shared" si="43"/>
        <v>Wed</v>
      </c>
    </row>
    <row r="681" spans="1:12" x14ac:dyDescent="0.25">
      <c r="A681" s="1">
        <v>45755</v>
      </c>
      <c r="B681" t="s">
        <v>12</v>
      </c>
      <c r="C681" t="s">
        <v>13</v>
      </c>
      <c r="D681" t="s">
        <v>19</v>
      </c>
      <c r="E681" t="s">
        <v>11</v>
      </c>
      <c r="F681">
        <v>12</v>
      </c>
      <c r="G681">
        <v>930.66</v>
      </c>
      <c r="H681">
        <v>11167.92</v>
      </c>
      <c r="I681">
        <f t="shared" si="40"/>
        <v>4</v>
      </c>
      <c r="J681" t="str">
        <f t="shared" si="41"/>
        <v>Apr</v>
      </c>
      <c r="K681">
        <f t="shared" si="42"/>
        <v>3</v>
      </c>
      <c r="L681" t="str">
        <f t="shared" si="43"/>
        <v>Tue</v>
      </c>
    </row>
    <row r="682" spans="1:12" x14ac:dyDescent="0.25">
      <c r="A682" s="1">
        <v>45943</v>
      </c>
      <c r="B682" t="s">
        <v>24</v>
      </c>
      <c r="C682" t="s">
        <v>21</v>
      </c>
      <c r="D682" t="s">
        <v>19</v>
      </c>
      <c r="E682" t="s">
        <v>15</v>
      </c>
      <c r="F682">
        <v>9</v>
      </c>
      <c r="G682">
        <v>851.59</v>
      </c>
      <c r="H682">
        <v>7664.31</v>
      </c>
      <c r="I682">
        <f t="shared" si="40"/>
        <v>10</v>
      </c>
      <c r="J682" t="str">
        <f t="shared" si="41"/>
        <v>Oct</v>
      </c>
      <c r="K682">
        <f t="shared" si="42"/>
        <v>2</v>
      </c>
      <c r="L682" t="str">
        <f t="shared" si="43"/>
        <v>Mon</v>
      </c>
    </row>
    <row r="683" spans="1:12" x14ac:dyDescent="0.25">
      <c r="A683" s="1">
        <v>45869</v>
      </c>
      <c r="B683" t="s">
        <v>12</v>
      </c>
      <c r="C683" t="s">
        <v>13</v>
      </c>
      <c r="D683" t="s">
        <v>10</v>
      </c>
      <c r="E683" t="s">
        <v>18</v>
      </c>
      <c r="F683">
        <v>13</v>
      </c>
      <c r="G683">
        <v>966.68</v>
      </c>
      <c r="H683">
        <v>12566.84</v>
      </c>
      <c r="I683">
        <f t="shared" si="40"/>
        <v>7</v>
      </c>
      <c r="J683" t="str">
        <f t="shared" si="41"/>
        <v>Jul</v>
      </c>
      <c r="K683">
        <f t="shared" si="42"/>
        <v>5</v>
      </c>
      <c r="L683" t="str">
        <f t="shared" si="43"/>
        <v>Thu</v>
      </c>
    </row>
    <row r="684" spans="1:12" x14ac:dyDescent="0.25">
      <c r="A684" s="1">
        <v>45770</v>
      </c>
      <c r="B684" t="s">
        <v>39</v>
      </c>
      <c r="C684" t="s">
        <v>9</v>
      </c>
      <c r="D684" t="s">
        <v>17</v>
      </c>
      <c r="E684" t="s">
        <v>18</v>
      </c>
      <c r="F684">
        <v>1</v>
      </c>
      <c r="G684">
        <v>15489.04</v>
      </c>
      <c r="H684">
        <v>15489.04</v>
      </c>
      <c r="I684">
        <f t="shared" si="40"/>
        <v>4</v>
      </c>
      <c r="J684" t="str">
        <f t="shared" si="41"/>
        <v>Apr</v>
      </c>
      <c r="K684">
        <f t="shared" si="42"/>
        <v>4</v>
      </c>
      <c r="L684" t="str">
        <f t="shared" si="43"/>
        <v>Wed</v>
      </c>
    </row>
    <row r="685" spans="1:12" x14ac:dyDescent="0.25">
      <c r="A685" s="1">
        <v>45929</v>
      </c>
      <c r="B685" t="s">
        <v>41</v>
      </c>
      <c r="C685" t="s">
        <v>21</v>
      </c>
      <c r="D685" t="s">
        <v>19</v>
      </c>
      <c r="E685" t="s">
        <v>26</v>
      </c>
      <c r="F685">
        <v>13</v>
      </c>
      <c r="G685">
        <v>760.08</v>
      </c>
      <c r="H685">
        <v>9881.0400000000009</v>
      </c>
      <c r="I685">
        <f t="shared" si="40"/>
        <v>9</v>
      </c>
      <c r="J685" t="str">
        <f t="shared" si="41"/>
        <v>Sep</v>
      </c>
      <c r="K685">
        <f t="shared" si="42"/>
        <v>2</v>
      </c>
      <c r="L685" t="str">
        <f t="shared" si="43"/>
        <v>Mon</v>
      </c>
    </row>
    <row r="686" spans="1:12" x14ac:dyDescent="0.25">
      <c r="A686" s="1">
        <v>45984</v>
      </c>
      <c r="B686" t="s">
        <v>41</v>
      </c>
      <c r="C686" t="s">
        <v>13</v>
      </c>
      <c r="D686" t="s">
        <v>14</v>
      </c>
      <c r="E686" t="s">
        <v>11</v>
      </c>
      <c r="F686">
        <v>13</v>
      </c>
      <c r="G686">
        <v>588.5</v>
      </c>
      <c r="H686">
        <v>7650.5</v>
      </c>
      <c r="I686">
        <f t="shared" si="40"/>
        <v>11</v>
      </c>
      <c r="J686" t="str">
        <f t="shared" si="41"/>
        <v>Nov</v>
      </c>
      <c r="K686">
        <f t="shared" si="42"/>
        <v>1</v>
      </c>
      <c r="L686" t="str">
        <f t="shared" si="43"/>
        <v>Sun</v>
      </c>
    </row>
    <row r="687" spans="1:12" x14ac:dyDescent="0.25">
      <c r="A687" s="1">
        <v>45812</v>
      </c>
      <c r="B687" t="s">
        <v>40</v>
      </c>
      <c r="C687" t="s">
        <v>9</v>
      </c>
      <c r="D687" t="s">
        <v>19</v>
      </c>
      <c r="E687" t="s">
        <v>26</v>
      </c>
      <c r="F687">
        <v>18</v>
      </c>
      <c r="G687">
        <v>5038.7700000000004</v>
      </c>
      <c r="H687">
        <v>90697.86</v>
      </c>
      <c r="I687">
        <f t="shared" si="40"/>
        <v>6</v>
      </c>
      <c r="J687" t="str">
        <f t="shared" si="41"/>
        <v>Jun</v>
      </c>
      <c r="K687">
        <f t="shared" si="42"/>
        <v>4</v>
      </c>
      <c r="L687" t="str">
        <f t="shared" si="43"/>
        <v>Wed</v>
      </c>
    </row>
    <row r="688" spans="1:12" x14ac:dyDescent="0.25">
      <c r="A688" s="1">
        <v>45942</v>
      </c>
      <c r="B688" t="s">
        <v>20</v>
      </c>
      <c r="C688" t="s">
        <v>9</v>
      </c>
      <c r="D688" t="s">
        <v>19</v>
      </c>
      <c r="E688" t="s">
        <v>26</v>
      </c>
      <c r="F688">
        <v>14</v>
      </c>
      <c r="G688">
        <v>1794.8</v>
      </c>
      <c r="H688">
        <v>25127.200000000001</v>
      </c>
      <c r="I688">
        <f t="shared" si="40"/>
        <v>10</v>
      </c>
      <c r="J688" t="str">
        <f t="shared" si="41"/>
        <v>Oct</v>
      </c>
      <c r="K688">
        <f t="shared" si="42"/>
        <v>1</v>
      </c>
      <c r="L688" t="str">
        <f t="shared" si="43"/>
        <v>Sun</v>
      </c>
    </row>
    <row r="689" spans="1:12" x14ac:dyDescent="0.25">
      <c r="A689" s="1">
        <v>45925</v>
      </c>
      <c r="B689" t="s">
        <v>24</v>
      </c>
      <c r="C689" t="s">
        <v>21</v>
      </c>
      <c r="D689" t="s">
        <v>17</v>
      </c>
      <c r="E689" t="s">
        <v>22</v>
      </c>
      <c r="F689">
        <v>8</v>
      </c>
      <c r="G689">
        <v>836.04</v>
      </c>
      <c r="H689">
        <v>6688.32</v>
      </c>
      <c r="I689">
        <f t="shared" si="40"/>
        <v>9</v>
      </c>
      <c r="J689" t="str">
        <f t="shared" si="41"/>
        <v>Sep</v>
      </c>
      <c r="K689">
        <f t="shared" si="42"/>
        <v>5</v>
      </c>
      <c r="L689" t="str">
        <f t="shared" si="43"/>
        <v>Thu</v>
      </c>
    </row>
    <row r="690" spans="1:12" x14ac:dyDescent="0.25">
      <c r="A690" s="1">
        <v>45799</v>
      </c>
      <c r="B690" t="s">
        <v>40</v>
      </c>
      <c r="C690" t="s">
        <v>21</v>
      </c>
      <c r="D690" t="s">
        <v>19</v>
      </c>
      <c r="E690" t="s">
        <v>15</v>
      </c>
      <c r="F690">
        <v>1</v>
      </c>
      <c r="G690">
        <v>6058.95</v>
      </c>
      <c r="H690">
        <v>6058.95</v>
      </c>
      <c r="I690">
        <f t="shared" si="40"/>
        <v>5</v>
      </c>
      <c r="J690" t="str">
        <f t="shared" si="41"/>
        <v>May</v>
      </c>
      <c r="K690">
        <f t="shared" si="42"/>
        <v>5</v>
      </c>
      <c r="L690" t="str">
        <f t="shared" si="43"/>
        <v>Thu</v>
      </c>
    </row>
    <row r="691" spans="1:12" x14ac:dyDescent="0.25">
      <c r="A691" s="1">
        <v>45793</v>
      </c>
      <c r="B691" t="s">
        <v>25</v>
      </c>
      <c r="C691" t="s">
        <v>13</v>
      </c>
      <c r="D691" t="s">
        <v>17</v>
      </c>
      <c r="E691" t="s">
        <v>18</v>
      </c>
      <c r="F691">
        <v>3</v>
      </c>
      <c r="G691">
        <v>4032.84</v>
      </c>
      <c r="H691">
        <v>12098.52</v>
      </c>
      <c r="I691">
        <f t="shared" si="40"/>
        <v>5</v>
      </c>
      <c r="J691" t="str">
        <f t="shared" si="41"/>
        <v>May</v>
      </c>
      <c r="K691">
        <f t="shared" si="42"/>
        <v>6</v>
      </c>
      <c r="L691" t="str">
        <f t="shared" si="43"/>
        <v>Fri</v>
      </c>
    </row>
    <row r="692" spans="1:12" x14ac:dyDescent="0.25">
      <c r="A692" s="1">
        <v>45864</v>
      </c>
      <c r="B692" t="s">
        <v>40</v>
      </c>
      <c r="C692" t="s">
        <v>13</v>
      </c>
      <c r="D692" t="s">
        <v>19</v>
      </c>
      <c r="E692" t="s">
        <v>15</v>
      </c>
      <c r="F692">
        <v>13</v>
      </c>
      <c r="G692">
        <v>3834.78</v>
      </c>
      <c r="H692">
        <v>49852.14</v>
      </c>
      <c r="I692">
        <f t="shared" si="40"/>
        <v>7</v>
      </c>
      <c r="J692" t="str">
        <f t="shared" si="41"/>
        <v>Jul</v>
      </c>
      <c r="K692">
        <f t="shared" si="42"/>
        <v>7</v>
      </c>
      <c r="L692" t="str">
        <f t="shared" si="43"/>
        <v>Sat</v>
      </c>
    </row>
    <row r="693" spans="1:12" x14ac:dyDescent="0.25">
      <c r="A693" s="1">
        <v>45728</v>
      </c>
      <c r="B693" t="s">
        <v>39</v>
      </c>
      <c r="C693" t="s">
        <v>13</v>
      </c>
      <c r="D693" t="s">
        <v>19</v>
      </c>
      <c r="E693" t="s">
        <v>26</v>
      </c>
      <c r="F693">
        <v>19</v>
      </c>
      <c r="G693">
        <v>17256.93</v>
      </c>
      <c r="H693">
        <v>327881.67</v>
      </c>
      <c r="I693">
        <f t="shared" si="40"/>
        <v>3</v>
      </c>
      <c r="J693" t="str">
        <f t="shared" si="41"/>
        <v>Mar</v>
      </c>
      <c r="K693">
        <f t="shared" si="42"/>
        <v>4</v>
      </c>
      <c r="L693" t="str">
        <f t="shared" si="43"/>
        <v>Wed</v>
      </c>
    </row>
    <row r="694" spans="1:12" x14ac:dyDescent="0.25">
      <c r="A694" s="1">
        <v>45827</v>
      </c>
      <c r="B694" t="s">
        <v>39</v>
      </c>
      <c r="C694" t="s">
        <v>9</v>
      </c>
      <c r="D694" t="s">
        <v>19</v>
      </c>
      <c r="E694" t="s">
        <v>26</v>
      </c>
      <c r="F694">
        <v>8</v>
      </c>
      <c r="G694">
        <v>18862.3</v>
      </c>
      <c r="H694">
        <v>150898.4</v>
      </c>
      <c r="I694">
        <f t="shared" si="40"/>
        <v>6</v>
      </c>
      <c r="J694" t="str">
        <f t="shared" si="41"/>
        <v>Jun</v>
      </c>
      <c r="K694">
        <f t="shared" si="42"/>
        <v>5</v>
      </c>
      <c r="L694" t="str">
        <f t="shared" si="43"/>
        <v>Thu</v>
      </c>
    </row>
    <row r="695" spans="1:12" x14ac:dyDescent="0.25">
      <c r="A695" s="1">
        <v>45998</v>
      </c>
      <c r="B695" t="s">
        <v>16</v>
      </c>
      <c r="C695" t="s">
        <v>21</v>
      </c>
      <c r="D695" t="s">
        <v>17</v>
      </c>
      <c r="E695" t="s">
        <v>15</v>
      </c>
      <c r="F695">
        <v>19</v>
      </c>
      <c r="G695">
        <v>2537.1</v>
      </c>
      <c r="H695">
        <v>48204.9</v>
      </c>
      <c r="I695">
        <f t="shared" si="40"/>
        <v>12</v>
      </c>
      <c r="J695" t="str">
        <f t="shared" si="41"/>
        <v>Dec</v>
      </c>
      <c r="K695">
        <f t="shared" si="42"/>
        <v>1</v>
      </c>
      <c r="L695" t="str">
        <f t="shared" si="43"/>
        <v>Sun</v>
      </c>
    </row>
    <row r="696" spans="1:12" x14ac:dyDescent="0.25">
      <c r="A696" s="1">
        <v>45889</v>
      </c>
      <c r="B696" t="s">
        <v>39</v>
      </c>
      <c r="C696" t="s">
        <v>13</v>
      </c>
      <c r="D696" t="s">
        <v>10</v>
      </c>
      <c r="E696" t="s">
        <v>11</v>
      </c>
      <c r="F696">
        <v>17</v>
      </c>
      <c r="G696">
        <v>13489.85</v>
      </c>
      <c r="H696">
        <v>229327.45</v>
      </c>
      <c r="I696">
        <f t="shared" si="40"/>
        <v>8</v>
      </c>
      <c r="J696" t="str">
        <f t="shared" si="41"/>
        <v>Aug</v>
      </c>
      <c r="K696">
        <f t="shared" si="42"/>
        <v>4</v>
      </c>
      <c r="L696" t="str">
        <f t="shared" si="43"/>
        <v>Wed</v>
      </c>
    </row>
    <row r="697" spans="1:12" x14ac:dyDescent="0.25">
      <c r="A697" s="1">
        <v>45719</v>
      </c>
      <c r="B697" t="s">
        <v>41</v>
      </c>
      <c r="C697" t="s">
        <v>13</v>
      </c>
      <c r="D697" t="s">
        <v>10</v>
      </c>
      <c r="E697" t="s">
        <v>18</v>
      </c>
      <c r="F697">
        <v>17</v>
      </c>
      <c r="G697">
        <v>655.22</v>
      </c>
      <c r="H697">
        <v>11138.74</v>
      </c>
      <c r="I697">
        <f t="shared" si="40"/>
        <v>3</v>
      </c>
      <c r="J697" t="str">
        <f t="shared" si="41"/>
        <v>Mar</v>
      </c>
      <c r="K697">
        <f t="shared" si="42"/>
        <v>2</v>
      </c>
      <c r="L697" t="str">
        <f t="shared" si="43"/>
        <v>Mon</v>
      </c>
    </row>
    <row r="698" spans="1:12" x14ac:dyDescent="0.25">
      <c r="A698" s="1">
        <v>45840</v>
      </c>
      <c r="B698" t="s">
        <v>25</v>
      </c>
      <c r="C698" t="s">
        <v>21</v>
      </c>
      <c r="D698" t="s">
        <v>14</v>
      </c>
      <c r="E698" t="s">
        <v>15</v>
      </c>
      <c r="F698">
        <v>19</v>
      </c>
      <c r="G698">
        <v>3513.29</v>
      </c>
      <c r="H698">
        <v>66752.509999999995</v>
      </c>
      <c r="I698">
        <f t="shared" si="40"/>
        <v>7</v>
      </c>
      <c r="J698" t="str">
        <f t="shared" si="41"/>
        <v>Jul</v>
      </c>
      <c r="K698">
        <f t="shared" si="42"/>
        <v>4</v>
      </c>
      <c r="L698" t="str">
        <f t="shared" si="43"/>
        <v>Wed</v>
      </c>
    </row>
    <row r="699" spans="1:12" x14ac:dyDescent="0.25">
      <c r="A699" s="1">
        <v>45870</v>
      </c>
      <c r="B699" t="s">
        <v>12</v>
      </c>
      <c r="C699" t="s">
        <v>9</v>
      </c>
      <c r="D699" t="s">
        <v>10</v>
      </c>
      <c r="E699" t="s">
        <v>18</v>
      </c>
      <c r="F699">
        <v>13</v>
      </c>
      <c r="G699">
        <v>635.54999999999995</v>
      </c>
      <c r="H699">
        <v>8262.15</v>
      </c>
      <c r="I699">
        <f t="shared" si="40"/>
        <v>8</v>
      </c>
      <c r="J699" t="str">
        <f t="shared" si="41"/>
        <v>Aug</v>
      </c>
      <c r="K699">
        <f t="shared" si="42"/>
        <v>6</v>
      </c>
      <c r="L699" t="str">
        <f t="shared" si="43"/>
        <v>Fri</v>
      </c>
    </row>
    <row r="700" spans="1:12" x14ac:dyDescent="0.25">
      <c r="A700" s="1">
        <v>45944</v>
      </c>
      <c r="B700" t="s">
        <v>39</v>
      </c>
      <c r="C700" t="s">
        <v>9</v>
      </c>
      <c r="D700" t="s">
        <v>19</v>
      </c>
      <c r="E700" t="s">
        <v>27</v>
      </c>
      <c r="F700">
        <v>14</v>
      </c>
      <c r="G700">
        <v>17650.330000000002</v>
      </c>
      <c r="H700">
        <v>247104.62</v>
      </c>
      <c r="I700">
        <f t="shared" si="40"/>
        <v>10</v>
      </c>
      <c r="J700" t="str">
        <f t="shared" si="41"/>
        <v>Oct</v>
      </c>
      <c r="K700">
        <f t="shared" si="42"/>
        <v>3</v>
      </c>
      <c r="L700" t="str">
        <f t="shared" si="43"/>
        <v>Tue</v>
      </c>
    </row>
    <row r="701" spans="1:12" x14ac:dyDescent="0.25">
      <c r="A701" s="1">
        <v>45908</v>
      </c>
      <c r="B701" t="s">
        <v>23</v>
      </c>
      <c r="C701" t="s">
        <v>21</v>
      </c>
      <c r="D701" t="s">
        <v>19</v>
      </c>
      <c r="E701" t="s">
        <v>11</v>
      </c>
      <c r="F701">
        <v>1</v>
      </c>
      <c r="G701">
        <v>602.72</v>
      </c>
      <c r="H701">
        <v>602.72</v>
      </c>
      <c r="I701">
        <f t="shared" si="40"/>
        <v>9</v>
      </c>
      <c r="J701" t="str">
        <f t="shared" si="41"/>
        <v>Sep</v>
      </c>
      <c r="K701">
        <f t="shared" si="42"/>
        <v>2</v>
      </c>
      <c r="L701" t="str">
        <f t="shared" si="43"/>
        <v>Mon</v>
      </c>
    </row>
    <row r="702" spans="1:12" x14ac:dyDescent="0.25">
      <c r="A702" s="1">
        <v>45960</v>
      </c>
      <c r="B702" t="s">
        <v>41</v>
      </c>
      <c r="C702" t="s">
        <v>9</v>
      </c>
      <c r="D702" t="s">
        <v>10</v>
      </c>
      <c r="E702" t="s">
        <v>18</v>
      </c>
      <c r="F702">
        <v>8</v>
      </c>
      <c r="G702">
        <v>758.04</v>
      </c>
      <c r="H702">
        <v>6064.32</v>
      </c>
      <c r="I702">
        <f t="shared" si="40"/>
        <v>10</v>
      </c>
      <c r="J702" t="str">
        <f t="shared" si="41"/>
        <v>Oct</v>
      </c>
      <c r="K702">
        <f t="shared" si="42"/>
        <v>5</v>
      </c>
      <c r="L702" t="str">
        <f t="shared" si="43"/>
        <v>Thu</v>
      </c>
    </row>
    <row r="703" spans="1:12" x14ac:dyDescent="0.25">
      <c r="A703" s="1">
        <v>45793</v>
      </c>
      <c r="B703" t="s">
        <v>41</v>
      </c>
      <c r="C703" t="s">
        <v>13</v>
      </c>
      <c r="D703" t="s">
        <v>19</v>
      </c>
      <c r="E703" t="s">
        <v>15</v>
      </c>
      <c r="F703">
        <v>2</v>
      </c>
      <c r="G703">
        <v>488.18</v>
      </c>
      <c r="H703">
        <v>976.36</v>
      </c>
      <c r="I703">
        <f t="shared" si="40"/>
        <v>5</v>
      </c>
      <c r="J703" t="str">
        <f t="shared" si="41"/>
        <v>May</v>
      </c>
      <c r="K703">
        <f t="shared" si="42"/>
        <v>6</v>
      </c>
      <c r="L703" t="str">
        <f t="shared" si="43"/>
        <v>Fri</v>
      </c>
    </row>
    <row r="704" spans="1:12" x14ac:dyDescent="0.25">
      <c r="A704" s="1">
        <v>45774</v>
      </c>
      <c r="B704" t="s">
        <v>12</v>
      </c>
      <c r="C704" t="s">
        <v>9</v>
      </c>
      <c r="D704" t="s">
        <v>14</v>
      </c>
      <c r="E704" t="s">
        <v>18</v>
      </c>
      <c r="F704">
        <v>8</v>
      </c>
      <c r="G704">
        <v>942.06</v>
      </c>
      <c r="H704">
        <v>7536.48</v>
      </c>
      <c r="I704">
        <f t="shared" si="40"/>
        <v>4</v>
      </c>
      <c r="J704" t="str">
        <f t="shared" si="41"/>
        <v>Apr</v>
      </c>
      <c r="K704">
        <f t="shared" si="42"/>
        <v>1</v>
      </c>
      <c r="L704" t="str">
        <f t="shared" si="43"/>
        <v>Sun</v>
      </c>
    </row>
    <row r="705" spans="1:12" x14ac:dyDescent="0.25">
      <c r="A705" s="1">
        <v>45979</v>
      </c>
      <c r="B705" t="s">
        <v>41</v>
      </c>
      <c r="C705" t="s">
        <v>9</v>
      </c>
      <c r="D705" t="s">
        <v>10</v>
      </c>
      <c r="E705" t="s">
        <v>26</v>
      </c>
      <c r="F705">
        <v>16</v>
      </c>
      <c r="G705">
        <v>702.31</v>
      </c>
      <c r="H705">
        <v>11236.96</v>
      </c>
      <c r="I705">
        <f t="shared" si="40"/>
        <v>11</v>
      </c>
      <c r="J705" t="str">
        <f t="shared" si="41"/>
        <v>Nov</v>
      </c>
      <c r="K705">
        <f t="shared" si="42"/>
        <v>3</v>
      </c>
      <c r="L705" t="str">
        <f t="shared" si="43"/>
        <v>Tue</v>
      </c>
    </row>
    <row r="706" spans="1:12" x14ac:dyDescent="0.25">
      <c r="A706" s="1">
        <v>45819</v>
      </c>
      <c r="B706" t="s">
        <v>40</v>
      </c>
      <c r="C706" t="s">
        <v>9</v>
      </c>
      <c r="D706" t="s">
        <v>19</v>
      </c>
      <c r="E706" t="s">
        <v>26</v>
      </c>
      <c r="F706">
        <v>15</v>
      </c>
      <c r="G706">
        <v>4707.22</v>
      </c>
      <c r="H706">
        <v>70608.3</v>
      </c>
      <c r="I706">
        <f t="shared" ref="I706:I769" si="44">MONTH(A706)</f>
        <v>6</v>
      </c>
      <c r="J706" t="str">
        <f t="shared" ref="J706:J769" si="45">TEXT(A706,"MMM")</f>
        <v>Jun</v>
      </c>
      <c r="K706">
        <f t="shared" ref="K706:K769" si="46">WEEKDAY(A706,1)</f>
        <v>4</v>
      </c>
      <c r="L706" t="str">
        <f t="shared" ref="L706:L769" si="47">TEXT(K706,"DDD")</f>
        <v>Wed</v>
      </c>
    </row>
    <row r="707" spans="1:12" x14ac:dyDescent="0.25">
      <c r="A707" s="1">
        <v>46007</v>
      </c>
      <c r="B707" t="s">
        <v>16</v>
      </c>
      <c r="C707" t="s">
        <v>13</v>
      </c>
      <c r="D707" t="s">
        <v>19</v>
      </c>
      <c r="E707" t="s">
        <v>15</v>
      </c>
      <c r="F707">
        <v>2</v>
      </c>
      <c r="G707">
        <v>2026.95</v>
      </c>
      <c r="H707">
        <v>4053.9</v>
      </c>
      <c r="I707">
        <f t="shared" si="44"/>
        <v>12</v>
      </c>
      <c r="J707" t="str">
        <f t="shared" si="45"/>
        <v>Dec</v>
      </c>
      <c r="K707">
        <f t="shared" si="46"/>
        <v>3</v>
      </c>
      <c r="L707" t="str">
        <f t="shared" si="47"/>
        <v>Tue</v>
      </c>
    </row>
    <row r="708" spans="1:12" x14ac:dyDescent="0.25">
      <c r="A708" s="1">
        <v>45805</v>
      </c>
      <c r="B708" t="s">
        <v>40</v>
      </c>
      <c r="C708" t="s">
        <v>9</v>
      </c>
      <c r="D708" t="s">
        <v>19</v>
      </c>
      <c r="E708" t="s">
        <v>15</v>
      </c>
      <c r="F708">
        <v>1</v>
      </c>
      <c r="G708">
        <v>3850.77</v>
      </c>
      <c r="H708">
        <v>3850.77</v>
      </c>
      <c r="I708">
        <f t="shared" si="44"/>
        <v>5</v>
      </c>
      <c r="J708" t="str">
        <f t="shared" si="45"/>
        <v>May</v>
      </c>
      <c r="K708">
        <f t="shared" si="46"/>
        <v>4</v>
      </c>
      <c r="L708" t="str">
        <f t="shared" si="47"/>
        <v>Wed</v>
      </c>
    </row>
    <row r="709" spans="1:12" x14ac:dyDescent="0.25">
      <c r="A709" s="1">
        <v>45909</v>
      </c>
      <c r="B709" t="s">
        <v>12</v>
      </c>
      <c r="C709" t="s">
        <v>21</v>
      </c>
      <c r="D709" t="s">
        <v>14</v>
      </c>
      <c r="E709" t="s">
        <v>18</v>
      </c>
      <c r="F709">
        <v>15</v>
      </c>
      <c r="G709">
        <v>864.28</v>
      </c>
      <c r="H709">
        <v>12964.2</v>
      </c>
      <c r="I709">
        <f t="shared" si="44"/>
        <v>9</v>
      </c>
      <c r="J709" t="str">
        <f t="shared" si="45"/>
        <v>Sep</v>
      </c>
      <c r="K709">
        <f t="shared" si="46"/>
        <v>3</v>
      </c>
      <c r="L709" t="str">
        <f t="shared" si="47"/>
        <v>Tue</v>
      </c>
    </row>
    <row r="710" spans="1:12" x14ac:dyDescent="0.25">
      <c r="A710" s="1">
        <v>45933</v>
      </c>
      <c r="B710" t="s">
        <v>41</v>
      </c>
      <c r="C710" t="s">
        <v>9</v>
      </c>
      <c r="D710" t="s">
        <v>14</v>
      </c>
      <c r="E710" t="s">
        <v>15</v>
      </c>
      <c r="F710">
        <v>6</v>
      </c>
      <c r="G710">
        <v>744.87</v>
      </c>
      <c r="H710">
        <v>4469.22</v>
      </c>
      <c r="I710">
        <f t="shared" si="44"/>
        <v>10</v>
      </c>
      <c r="J710" t="str">
        <f t="shared" si="45"/>
        <v>Oct</v>
      </c>
      <c r="K710">
        <f t="shared" si="46"/>
        <v>6</v>
      </c>
      <c r="L710" t="str">
        <f t="shared" si="47"/>
        <v>Fri</v>
      </c>
    </row>
    <row r="711" spans="1:12" x14ac:dyDescent="0.25">
      <c r="A711" s="1">
        <v>45768</v>
      </c>
      <c r="B711" t="s">
        <v>20</v>
      </c>
      <c r="C711" t="s">
        <v>13</v>
      </c>
      <c r="D711" t="s">
        <v>14</v>
      </c>
      <c r="E711" t="s">
        <v>15</v>
      </c>
      <c r="F711">
        <v>3</v>
      </c>
      <c r="G711">
        <v>1559.94</v>
      </c>
      <c r="H711">
        <v>4679.82</v>
      </c>
      <c r="I711">
        <f t="shared" si="44"/>
        <v>4</v>
      </c>
      <c r="J711" t="str">
        <f t="shared" si="45"/>
        <v>Apr</v>
      </c>
      <c r="K711">
        <f t="shared" si="46"/>
        <v>2</v>
      </c>
      <c r="L711" t="str">
        <f t="shared" si="47"/>
        <v>Mon</v>
      </c>
    </row>
    <row r="712" spans="1:12" x14ac:dyDescent="0.25">
      <c r="A712" s="1">
        <v>45807</v>
      </c>
      <c r="B712" t="s">
        <v>23</v>
      </c>
      <c r="C712" t="s">
        <v>21</v>
      </c>
      <c r="D712" t="s">
        <v>14</v>
      </c>
      <c r="E712" t="s">
        <v>18</v>
      </c>
      <c r="F712">
        <v>17</v>
      </c>
      <c r="G712">
        <v>599.71</v>
      </c>
      <c r="H712">
        <v>10195.07</v>
      </c>
      <c r="I712">
        <f t="shared" si="44"/>
        <v>5</v>
      </c>
      <c r="J712" t="str">
        <f t="shared" si="45"/>
        <v>May</v>
      </c>
      <c r="K712">
        <f t="shared" si="46"/>
        <v>6</v>
      </c>
      <c r="L712" t="str">
        <f t="shared" si="47"/>
        <v>Fri</v>
      </c>
    </row>
    <row r="713" spans="1:12" x14ac:dyDescent="0.25">
      <c r="A713" s="1">
        <v>45859</v>
      </c>
      <c r="B713" t="s">
        <v>24</v>
      </c>
      <c r="C713" t="s">
        <v>21</v>
      </c>
      <c r="D713" t="s">
        <v>17</v>
      </c>
      <c r="E713" t="s">
        <v>15</v>
      </c>
      <c r="F713">
        <v>5</v>
      </c>
      <c r="G713">
        <v>771.23</v>
      </c>
      <c r="H713">
        <v>3856.15</v>
      </c>
      <c r="I713">
        <f t="shared" si="44"/>
        <v>7</v>
      </c>
      <c r="J713" t="str">
        <f t="shared" si="45"/>
        <v>Jul</v>
      </c>
      <c r="K713">
        <f t="shared" si="46"/>
        <v>2</v>
      </c>
      <c r="L713" t="str">
        <f t="shared" si="47"/>
        <v>Mon</v>
      </c>
    </row>
    <row r="714" spans="1:12" x14ac:dyDescent="0.25">
      <c r="A714" s="1">
        <v>45893</v>
      </c>
      <c r="B714" t="s">
        <v>25</v>
      </c>
      <c r="C714" t="s">
        <v>9</v>
      </c>
      <c r="D714" t="s">
        <v>17</v>
      </c>
      <c r="E714" t="s">
        <v>22</v>
      </c>
      <c r="F714">
        <v>16</v>
      </c>
      <c r="G714">
        <v>4095.35</v>
      </c>
      <c r="H714">
        <v>65525.599999999999</v>
      </c>
      <c r="I714">
        <f t="shared" si="44"/>
        <v>8</v>
      </c>
      <c r="J714" t="str">
        <f t="shared" si="45"/>
        <v>Aug</v>
      </c>
      <c r="K714">
        <f t="shared" si="46"/>
        <v>1</v>
      </c>
      <c r="L714" t="str">
        <f t="shared" si="47"/>
        <v>Sun</v>
      </c>
    </row>
    <row r="715" spans="1:12" x14ac:dyDescent="0.25">
      <c r="A715" s="1">
        <v>46016</v>
      </c>
      <c r="B715" t="s">
        <v>23</v>
      </c>
      <c r="C715" t="s">
        <v>21</v>
      </c>
      <c r="D715" t="s">
        <v>10</v>
      </c>
      <c r="E715" t="s">
        <v>18</v>
      </c>
      <c r="F715">
        <v>12</v>
      </c>
      <c r="G715">
        <v>609.57000000000005</v>
      </c>
      <c r="H715">
        <v>7314.84</v>
      </c>
      <c r="I715">
        <f t="shared" si="44"/>
        <v>12</v>
      </c>
      <c r="J715" t="str">
        <f t="shared" si="45"/>
        <v>Dec</v>
      </c>
      <c r="K715">
        <f t="shared" si="46"/>
        <v>5</v>
      </c>
      <c r="L715" t="str">
        <f t="shared" si="47"/>
        <v>Thu</v>
      </c>
    </row>
    <row r="716" spans="1:12" x14ac:dyDescent="0.25">
      <c r="A716" s="1">
        <v>45746</v>
      </c>
      <c r="B716" t="s">
        <v>41</v>
      </c>
      <c r="C716" t="s">
        <v>13</v>
      </c>
      <c r="D716" t="s">
        <v>19</v>
      </c>
      <c r="E716" t="s">
        <v>15</v>
      </c>
      <c r="F716">
        <v>9</v>
      </c>
      <c r="G716">
        <v>431.44</v>
      </c>
      <c r="H716">
        <v>3882.96</v>
      </c>
      <c r="I716">
        <f t="shared" si="44"/>
        <v>3</v>
      </c>
      <c r="J716" t="str">
        <f t="shared" si="45"/>
        <v>Mar</v>
      </c>
      <c r="K716">
        <f t="shared" si="46"/>
        <v>1</v>
      </c>
      <c r="L716" t="str">
        <f t="shared" si="47"/>
        <v>Sun</v>
      </c>
    </row>
    <row r="717" spans="1:12" x14ac:dyDescent="0.25">
      <c r="A717" s="1">
        <v>45842</v>
      </c>
      <c r="B717" t="s">
        <v>24</v>
      </c>
      <c r="C717" t="s">
        <v>13</v>
      </c>
      <c r="D717" t="s">
        <v>14</v>
      </c>
      <c r="E717" t="s">
        <v>18</v>
      </c>
      <c r="F717">
        <v>12</v>
      </c>
      <c r="G717">
        <v>1014.15</v>
      </c>
      <c r="H717">
        <v>12169.8</v>
      </c>
      <c r="I717">
        <f t="shared" si="44"/>
        <v>7</v>
      </c>
      <c r="J717" t="str">
        <f t="shared" si="45"/>
        <v>Jul</v>
      </c>
      <c r="K717">
        <f t="shared" si="46"/>
        <v>6</v>
      </c>
      <c r="L717" t="str">
        <f t="shared" si="47"/>
        <v>Fri</v>
      </c>
    </row>
    <row r="718" spans="1:12" x14ac:dyDescent="0.25">
      <c r="A718" s="1">
        <v>45934</v>
      </c>
      <c r="B718" t="s">
        <v>41</v>
      </c>
      <c r="C718" t="s">
        <v>9</v>
      </c>
      <c r="D718" t="s">
        <v>10</v>
      </c>
      <c r="E718" t="s">
        <v>22</v>
      </c>
      <c r="F718">
        <v>1</v>
      </c>
      <c r="G718">
        <v>469.64</v>
      </c>
      <c r="H718">
        <v>469.64</v>
      </c>
      <c r="I718">
        <f t="shared" si="44"/>
        <v>10</v>
      </c>
      <c r="J718" t="str">
        <f t="shared" si="45"/>
        <v>Oct</v>
      </c>
      <c r="K718">
        <f t="shared" si="46"/>
        <v>7</v>
      </c>
      <c r="L718" t="str">
        <f t="shared" si="47"/>
        <v>Sat</v>
      </c>
    </row>
    <row r="719" spans="1:12" x14ac:dyDescent="0.25">
      <c r="A719" s="1">
        <v>45838</v>
      </c>
      <c r="B719" t="s">
        <v>12</v>
      </c>
      <c r="C719" t="s">
        <v>9</v>
      </c>
      <c r="D719" t="s">
        <v>10</v>
      </c>
      <c r="E719" t="s">
        <v>22</v>
      </c>
      <c r="F719">
        <v>6</v>
      </c>
      <c r="G719">
        <v>1113.78</v>
      </c>
      <c r="H719">
        <v>6682.68</v>
      </c>
      <c r="I719">
        <f t="shared" si="44"/>
        <v>6</v>
      </c>
      <c r="J719" t="str">
        <f t="shared" si="45"/>
        <v>Jun</v>
      </c>
      <c r="K719">
        <f t="shared" si="46"/>
        <v>2</v>
      </c>
      <c r="L719" t="str">
        <f t="shared" si="47"/>
        <v>Mon</v>
      </c>
    </row>
    <row r="720" spans="1:12" x14ac:dyDescent="0.25">
      <c r="A720" s="1">
        <v>45864</v>
      </c>
      <c r="B720" t="s">
        <v>41</v>
      </c>
      <c r="C720" t="s">
        <v>21</v>
      </c>
      <c r="D720" t="s">
        <v>10</v>
      </c>
      <c r="E720" t="s">
        <v>22</v>
      </c>
      <c r="F720">
        <v>17</v>
      </c>
      <c r="G720">
        <v>620.63</v>
      </c>
      <c r="H720">
        <v>10550.71</v>
      </c>
      <c r="I720">
        <f t="shared" si="44"/>
        <v>7</v>
      </c>
      <c r="J720" t="str">
        <f t="shared" si="45"/>
        <v>Jul</v>
      </c>
      <c r="K720">
        <f t="shared" si="46"/>
        <v>7</v>
      </c>
      <c r="L720" t="str">
        <f t="shared" si="47"/>
        <v>Sat</v>
      </c>
    </row>
    <row r="721" spans="1:12" x14ac:dyDescent="0.25">
      <c r="A721" s="1">
        <v>45797</v>
      </c>
      <c r="B721" t="s">
        <v>39</v>
      </c>
      <c r="C721" t="s">
        <v>21</v>
      </c>
      <c r="D721" t="s">
        <v>17</v>
      </c>
      <c r="E721" t="s">
        <v>15</v>
      </c>
      <c r="F721">
        <v>6</v>
      </c>
      <c r="G721">
        <v>15591.19</v>
      </c>
      <c r="H721">
        <v>93547.14</v>
      </c>
      <c r="I721">
        <f t="shared" si="44"/>
        <v>5</v>
      </c>
      <c r="J721" t="str">
        <f t="shared" si="45"/>
        <v>May</v>
      </c>
      <c r="K721">
        <f t="shared" si="46"/>
        <v>3</v>
      </c>
      <c r="L721" t="str">
        <f t="shared" si="47"/>
        <v>Tue</v>
      </c>
    </row>
    <row r="722" spans="1:12" x14ac:dyDescent="0.25">
      <c r="A722" s="1">
        <v>45671</v>
      </c>
      <c r="B722" t="s">
        <v>41</v>
      </c>
      <c r="C722" t="s">
        <v>9</v>
      </c>
      <c r="D722" t="s">
        <v>10</v>
      </c>
      <c r="E722" t="s">
        <v>22</v>
      </c>
      <c r="F722">
        <v>13</v>
      </c>
      <c r="G722">
        <v>585.28</v>
      </c>
      <c r="H722">
        <v>7608.64</v>
      </c>
      <c r="I722">
        <f t="shared" si="44"/>
        <v>1</v>
      </c>
      <c r="J722" t="str">
        <f t="shared" si="45"/>
        <v>Jan</v>
      </c>
      <c r="K722">
        <f t="shared" si="46"/>
        <v>3</v>
      </c>
      <c r="L722" t="str">
        <f t="shared" si="47"/>
        <v>Tue</v>
      </c>
    </row>
    <row r="723" spans="1:12" x14ac:dyDescent="0.25">
      <c r="A723" s="1">
        <v>45901</v>
      </c>
      <c r="B723" t="s">
        <v>41</v>
      </c>
      <c r="C723" t="s">
        <v>13</v>
      </c>
      <c r="D723" t="s">
        <v>19</v>
      </c>
      <c r="E723" t="s">
        <v>15</v>
      </c>
      <c r="F723">
        <v>17</v>
      </c>
      <c r="G723">
        <v>571.47</v>
      </c>
      <c r="H723">
        <v>9714.99</v>
      </c>
      <c r="I723">
        <f t="shared" si="44"/>
        <v>9</v>
      </c>
      <c r="J723" t="str">
        <f t="shared" si="45"/>
        <v>Sep</v>
      </c>
      <c r="K723">
        <f t="shared" si="46"/>
        <v>2</v>
      </c>
      <c r="L723" t="str">
        <f t="shared" si="47"/>
        <v>Mon</v>
      </c>
    </row>
    <row r="724" spans="1:12" x14ac:dyDescent="0.25">
      <c r="A724" s="1">
        <v>45683</v>
      </c>
      <c r="B724" t="s">
        <v>24</v>
      </c>
      <c r="C724" t="s">
        <v>21</v>
      </c>
      <c r="D724" t="s">
        <v>19</v>
      </c>
      <c r="E724" t="s">
        <v>11</v>
      </c>
      <c r="F724">
        <v>18</v>
      </c>
      <c r="G724">
        <v>1282.69</v>
      </c>
      <c r="H724">
        <v>23088.42</v>
      </c>
      <c r="I724">
        <f t="shared" si="44"/>
        <v>1</v>
      </c>
      <c r="J724" t="str">
        <f t="shared" si="45"/>
        <v>Jan</v>
      </c>
      <c r="K724">
        <f t="shared" si="46"/>
        <v>1</v>
      </c>
      <c r="L724" t="str">
        <f t="shared" si="47"/>
        <v>Sun</v>
      </c>
    </row>
    <row r="725" spans="1:12" x14ac:dyDescent="0.25">
      <c r="A725" s="1">
        <v>45929</v>
      </c>
      <c r="B725" t="s">
        <v>40</v>
      </c>
      <c r="C725" t="s">
        <v>21</v>
      </c>
      <c r="D725" t="s">
        <v>14</v>
      </c>
      <c r="E725" t="s">
        <v>15</v>
      </c>
      <c r="F725">
        <v>7</v>
      </c>
      <c r="G725">
        <v>4753</v>
      </c>
      <c r="H725">
        <v>33271</v>
      </c>
      <c r="I725">
        <f t="shared" si="44"/>
        <v>9</v>
      </c>
      <c r="J725" t="str">
        <f t="shared" si="45"/>
        <v>Sep</v>
      </c>
      <c r="K725">
        <f t="shared" si="46"/>
        <v>2</v>
      </c>
      <c r="L725" t="str">
        <f t="shared" si="47"/>
        <v>Mon</v>
      </c>
    </row>
    <row r="726" spans="1:12" x14ac:dyDescent="0.25">
      <c r="A726" s="1">
        <v>45676</v>
      </c>
      <c r="B726" t="s">
        <v>23</v>
      </c>
      <c r="C726" t="s">
        <v>9</v>
      </c>
      <c r="D726" t="s">
        <v>10</v>
      </c>
      <c r="E726" t="s">
        <v>11</v>
      </c>
      <c r="F726">
        <v>4</v>
      </c>
      <c r="G726">
        <v>887.05</v>
      </c>
      <c r="H726">
        <v>3548.2</v>
      </c>
      <c r="I726">
        <f t="shared" si="44"/>
        <v>1</v>
      </c>
      <c r="J726" t="str">
        <f t="shared" si="45"/>
        <v>Jan</v>
      </c>
      <c r="K726">
        <f t="shared" si="46"/>
        <v>1</v>
      </c>
      <c r="L726" t="str">
        <f t="shared" si="47"/>
        <v>Sun</v>
      </c>
    </row>
    <row r="727" spans="1:12" x14ac:dyDescent="0.25">
      <c r="A727" s="1">
        <v>45778</v>
      </c>
      <c r="B727" t="s">
        <v>41</v>
      </c>
      <c r="C727" t="s">
        <v>9</v>
      </c>
      <c r="D727" t="s">
        <v>17</v>
      </c>
      <c r="E727" t="s">
        <v>22</v>
      </c>
      <c r="F727">
        <v>7</v>
      </c>
      <c r="G727">
        <v>511.92</v>
      </c>
      <c r="H727">
        <v>3583.44</v>
      </c>
      <c r="I727">
        <f t="shared" si="44"/>
        <v>5</v>
      </c>
      <c r="J727" t="str">
        <f t="shared" si="45"/>
        <v>May</v>
      </c>
      <c r="K727">
        <f t="shared" si="46"/>
        <v>5</v>
      </c>
      <c r="L727" t="str">
        <f t="shared" si="47"/>
        <v>Thu</v>
      </c>
    </row>
    <row r="728" spans="1:12" x14ac:dyDescent="0.25">
      <c r="A728" s="1">
        <v>45721</v>
      </c>
      <c r="B728" t="s">
        <v>23</v>
      </c>
      <c r="C728" t="s">
        <v>9</v>
      </c>
      <c r="D728" t="s">
        <v>14</v>
      </c>
      <c r="E728" t="s">
        <v>26</v>
      </c>
      <c r="F728">
        <v>14</v>
      </c>
      <c r="G728">
        <v>693.49</v>
      </c>
      <c r="H728">
        <v>9708.86</v>
      </c>
      <c r="I728">
        <f t="shared" si="44"/>
        <v>3</v>
      </c>
      <c r="J728" t="str">
        <f t="shared" si="45"/>
        <v>Mar</v>
      </c>
      <c r="K728">
        <f t="shared" si="46"/>
        <v>4</v>
      </c>
      <c r="L728" t="str">
        <f t="shared" si="47"/>
        <v>Wed</v>
      </c>
    </row>
    <row r="729" spans="1:12" x14ac:dyDescent="0.25">
      <c r="A729" s="1">
        <v>45895</v>
      </c>
      <c r="B729" t="s">
        <v>8</v>
      </c>
      <c r="C729" t="s">
        <v>13</v>
      </c>
      <c r="D729" t="s">
        <v>19</v>
      </c>
      <c r="E729" t="s">
        <v>27</v>
      </c>
      <c r="F729">
        <v>16</v>
      </c>
      <c r="G729">
        <v>870.18</v>
      </c>
      <c r="H729">
        <v>13922.88</v>
      </c>
      <c r="I729">
        <f t="shared" si="44"/>
        <v>8</v>
      </c>
      <c r="J729" t="str">
        <f t="shared" si="45"/>
        <v>Aug</v>
      </c>
      <c r="K729">
        <f t="shared" si="46"/>
        <v>3</v>
      </c>
      <c r="L729" t="str">
        <f t="shared" si="47"/>
        <v>Tue</v>
      </c>
    </row>
    <row r="730" spans="1:12" x14ac:dyDescent="0.25">
      <c r="A730" s="1">
        <v>46002</v>
      </c>
      <c r="B730" t="s">
        <v>16</v>
      </c>
      <c r="C730" t="s">
        <v>13</v>
      </c>
      <c r="D730" t="s">
        <v>10</v>
      </c>
      <c r="E730" t="s">
        <v>11</v>
      </c>
      <c r="F730">
        <v>9</v>
      </c>
      <c r="G730">
        <v>2219.58</v>
      </c>
      <c r="H730">
        <v>19976.22</v>
      </c>
      <c r="I730">
        <f t="shared" si="44"/>
        <v>12</v>
      </c>
      <c r="J730" t="str">
        <f t="shared" si="45"/>
        <v>Dec</v>
      </c>
      <c r="K730">
        <f t="shared" si="46"/>
        <v>5</v>
      </c>
      <c r="L730" t="str">
        <f t="shared" si="47"/>
        <v>Thu</v>
      </c>
    </row>
    <row r="731" spans="1:12" x14ac:dyDescent="0.25">
      <c r="A731" s="1">
        <v>45920</v>
      </c>
      <c r="B731" t="s">
        <v>20</v>
      </c>
      <c r="C731" t="s">
        <v>13</v>
      </c>
      <c r="D731" t="s">
        <v>10</v>
      </c>
      <c r="E731" t="s">
        <v>26</v>
      </c>
      <c r="F731">
        <v>16</v>
      </c>
      <c r="G731">
        <v>1412.89</v>
      </c>
      <c r="H731">
        <v>22606.240000000002</v>
      </c>
      <c r="I731">
        <f t="shared" si="44"/>
        <v>9</v>
      </c>
      <c r="J731" t="str">
        <f t="shared" si="45"/>
        <v>Sep</v>
      </c>
      <c r="K731">
        <f t="shared" si="46"/>
        <v>7</v>
      </c>
      <c r="L731" t="str">
        <f t="shared" si="47"/>
        <v>Sat</v>
      </c>
    </row>
    <row r="732" spans="1:12" x14ac:dyDescent="0.25">
      <c r="A732" s="1">
        <v>45886</v>
      </c>
      <c r="B732" t="s">
        <v>16</v>
      </c>
      <c r="C732" t="s">
        <v>21</v>
      </c>
      <c r="D732" t="s">
        <v>17</v>
      </c>
      <c r="E732" t="s">
        <v>15</v>
      </c>
      <c r="F732">
        <v>7</v>
      </c>
      <c r="G732">
        <v>2847.24</v>
      </c>
      <c r="H732">
        <v>19930.68</v>
      </c>
      <c r="I732">
        <f t="shared" si="44"/>
        <v>8</v>
      </c>
      <c r="J732" t="str">
        <f t="shared" si="45"/>
        <v>Aug</v>
      </c>
      <c r="K732">
        <f t="shared" si="46"/>
        <v>1</v>
      </c>
      <c r="L732" t="str">
        <f t="shared" si="47"/>
        <v>Sun</v>
      </c>
    </row>
    <row r="733" spans="1:12" x14ac:dyDescent="0.25">
      <c r="A733" s="1">
        <v>45827</v>
      </c>
      <c r="B733" t="s">
        <v>20</v>
      </c>
      <c r="C733" t="s">
        <v>9</v>
      </c>
      <c r="D733" t="s">
        <v>14</v>
      </c>
      <c r="E733" t="s">
        <v>26</v>
      </c>
      <c r="F733">
        <v>14</v>
      </c>
      <c r="G733">
        <v>1146.8499999999999</v>
      </c>
      <c r="H733">
        <v>16055.9</v>
      </c>
      <c r="I733">
        <f t="shared" si="44"/>
        <v>6</v>
      </c>
      <c r="J733" t="str">
        <f t="shared" si="45"/>
        <v>Jun</v>
      </c>
      <c r="K733">
        <f t="shared" si="46"/>
        <v>5</v>
      </c>
      <c r="L733" t="str">
        <f t="shared" si="47"/>
        <v>Thu</v>
      </c>
    </row>
    <row r="734" spans="1:12" x14ac:dyDescent="0.25">
      <c r="A734" s="1">
        <v>45749</v>
      </c>
      <c r="B734" t="s">
        <v>20</v>
      </c>
      <c r="C734" t="s">
        <v>21</v>
      </c>
      <c r="D734" t="s">
        <v>19</v>
      </c>
      <c r="E734" t="s">
        <v>26</v>
      </c>
      <c r="F734">
        <v>18</v>
      </c>
      <c r="G734">
        <v>1274.55</v>
      </c>
      <c r="H734">
        <v>22941.9</v>
      </c>
      <c r="I734">
        <f t="shared" si="44"/>
        <v>4</v>
      </c>
      <c r="J734" t="str">
        <f t="shared" si="45"/>
        <v>Apr</v>
      </c>
      <c r="K734">
        <f t="shared" si="46"/>
        <v>4</v>
      </c>
      <c r="L734" t="str">
        <f t="shared" si="47"/>
        <v>Wed</v>
      </c>
    </row>
    <row r="735" spans="1:12" x14ac:dyDescent="0.25">
      <c r="A735" s="1">
        <v>45752</v>
      </c>
      <c r="B735" t="s">
        <v>40</v>
      </c>
      <c r="C735" t="s">
        <v>9</v>
      </c>
      <c r="D735" t="s">
        <v>14</v>
      </c>
      <c r="E735" t="s">
        <v>18</v>
      </c>
      <c r="F735">
        <v>6</v>
      </c>
      <c r="G735">
        <v>4475.63</v>
      </c>
      <c r="H735">
        <v>26853.78</v>
      </c>
      <c r="I735">
        <f t="shared" si="44"/>
        <v>4</v>
      </c>
      <c r="J735" t="str">
        <f t="shared" si="45"/>
        <v>Apr</v>
      </c>
      <c r="K735">
        <f t="shared" si="46"/>
        <v>7</v>
      </c>
      <c r="L735" t="str">
        <f t="shared" si="47"/>
        <v>Sat</v>
      </c>
    </row>
    <row r="736" spans="1:12" x14ac:dyDescent="0.25">
      <c r="A736" s="1">
        <v>45979</v>
      </c>
      <c r="B736" t="s">
        <v>12</v>
      </c>
      <c r="C736" t="s">
        <v>13</v>
      </c>
      <c r="D736" t="s">
        <v>10</v>
      </c>
      <c r="E736" t="s">
        <v>22</v>
      </c>
      <c r="F736">
        <v>4</v>
      </c>
      <c r="G736">
        <v>805.15</v>
      </c>
      <c r="H736">
        <v>3220.6</v>
      </c>
      <c r="I736">
        <f t="shared" si="44"/>
        <v>11</v>
      </c>
      <c r="J736" t="str">
        <f t="shared" si="45"/>
        <v>Nov</v>
      </c>
      <c r="K736">
        <f t="shared" si="46"/>
        <v>3</v>
      </c>
      <c r="L736" t="str">
        <f t="shared" si="47"/>
        <v>Tue</v>
      </c>
    </row>
    <row r="737" spans="1:12" x14ac:dyDescent="0.25">
      <c r="A737" s="1">
        <v>45993</v>
      </c>
      <c r="B737" t="s">
        <v>40</v>
      </c>
      <c r="C737" t="s">
        <v>13</v>
      </c>
      <c r="D737" t="s">
        <v>17</v>
      </c>
      <c r="E737" t="s">
        <v>11</v>
      </c>
      <c r="F737">
        <v>1</v>
      </c>
      <c r="G737">
        <v>4700.6400000000003</v>
      </c>
      <c r="H737">
        <v>4700.6400000000003</v>
      </c>
      <c r="I737">
        <f t="shared" si="44"/>
        <v>12</v>
      </c>
      <c r="J737" t="str">
        <f t="shared" si="45"/>
        <v>Dec</v>
      </c>
      <c r="K737">
        <f t="shared" si="46"/>
        <v>3</v>
      </c>
      <c r="L737" t="str">
        <f t="shared" si="47"/>
        <v>Tue</v>
      </c>
    </row>
    <row r="738" spans="1:12" x14ac:dyDescent="0.25">
      <c r="A738" s="1">
        <v>45903</v>
      </c>
      <c r="B738" t="s">
        <v>12</v>
      </c>
      <c r="C738" t="s">
        <v>13</v>
      </c>
      <c r="D738" t="s">
        <v>17</v>
      </c>
      <c r="E738" t="s">
        <v>18</v>
      </c>
      <c r="F738">
        <v>12</v>
      </c>
      <c r="G738">
        <v>986.13</v>
      </c>
      <c r="H738">
        <v>11833.56</v>
      </c>
      <c r="I738">
        <f t="shared" si="44"/>
        <v>9</v>
      </c>
      <c r="J738" t="str">
        <f t="shared" si="45"/>
        <v>Sep</v>
      </c>
      <c r="K738">
        <f t="shared" si="46"/>
        <v>4</v>
      </c>
      <c r="L738" t="str">
        <f t="shared" si="47"/>
        <v>Wed</v>
      </c>
    </row>
    <row r="739" spans="1:12" x14ac:dyDescent="0.25">
      <c r="A739" s="1">
        <v>45881</v>
      </c>
      <c r="B739" t="s">
        <v>16</v>
      </c>
      <c r="C739" t="s">
        <v>9</v>
      </c>
      <c r="D739" t="s">
        <v>10</v>
      </c>
      <c r="E739" t="s">
        <v>22</v>
      </c>
      <c r="F739">
        <v>9</v>
      </c>
      <c r="G739">
        <v>2021.77</v>
      </c>
      <c r="H739">
        <v>18195.93</v>
      </c>
      <c r="I739">
        <f t="shared" si="44"/>
        <v>8</v>
      </c>
      <c r="J739" t="str">
        <f t="shared" si="45"/>
        <v>Aug</v>
      </c>
      <c r="K739">
        <f t="shared" si="46"/>
        <v>3</v>
      </c>
      <c r="L739" t="str">
        <f t="shared" si="47"/>
        <v>Tue</v>
      </c>
    </row>
    <row r="740" spans="1:12" x14ac:dyDescent="0.25">
      <c r="A740" s="1">
        <v>45739</v>
      </c>
      <c r="B740" t="s">
        <v>24</v>
      </c>
      <c r="C740" t="s">
        <v>13</v>
      </c>
      <c r="D740" t="s">
        <v>19</v>
      </c>
      <c r="E740" t="s">
        <v>15</v>
      </c>
      <c r="F740">
        <v>2</v>
      </c>
      <c r="G740">
        <v>802.56</v>
      </c>
      <c r="H740">
        <v>1605.12</v>
      </c>
      <c r="I740">
        <f t="shared" si="44"/>
        <v>3</v>
      </c>
      <c r="J740" t="str">
        <f t="shared" si="45"/>
        <v>Mar</v>
      </c>
      <c r="K740">
        <f t="shared" si="46"/>
        <v>1</v>
      </c>
      <c r="L740" t="str">
        <f t="shared" si="47"/>
        <v>Sun</v>
      </c>
    </row>
    <row r="741" spans="1:12" x14ac:dyDescent="0.25">
      <c r="A741" s="1">
        <v>45682</v>
      </c>
      <c r="B741" t="s">
        <v>12</v>
      </c>
      <c r="C741" t="s">
        <v>21</v>
      </c>
      <c r="D741" t="s">
        <v>14</v>
      </c>
      <c r="E741" t="s">
        <v>18</v>
      </c>
      <c r="F741">
        <v>14</v>
      </c>
      <c r="G741">
        <v>842.28</v>
      </c>
      <c r="H741">
        <v>11791.92</v>
      </c>
      <c r="I741">
        <f t="shared" si="44"/>
        <v>1</v>
      </c>
      <c r="J741" t="str">
        <f t="shared" si="45"/>
        <v>Jan</v>
      </c>
      <c r="K741">
        <f t="shared" si="46"/>
        <v>7</v>
      </c>
      <c r="L741" t="str">
        <f t="shared" si="47"/>
        <v>Sat</v>
      </c>
    </row>
    <row r="742" spans="1:12" x14ac:dyDescent="0.25">
      <c r="A742" s="1">
        <v>45783</v>
      </c>
      <c r="B742" t="s">
        <v>40</v>
      </c>
      <c r="C742" t="s">
        <v>9</v>
      </c>
      <c r="D742" t="s">
        <v>14</v>
      </c>
      <c r="E742" t="s">
        <v>11</v>
      </c>
      <c r="F742">
        <v>16</v>
      </c>
      <c r="G742">
        <v>3989.06</v>
      </c>
      <c r="H742">
        <v>63824.959999999999</v>
      </c>
      <c r="I742">
        <f t="shared" si="44"/>
        <v>5</v>
      </c>
      <c r="J742" t="str">
        <f t="shared" si="45"/>
        <v>May</v>
      </c>
      <c r="K742">
        <f t="shared" si="46"/>
        <v>3</v>
      </c>
      <c r="L742" t="str">
        <f t="shared" si="47"/>
        <v>Tue</v>
      </c>
    </row>
    <row r="743" spans="1:12" x14ac:dyDescent="0.25">
      <c r="A743" s="1">
        <v>45755</v>
      </c>
      <c r="B743" t="s">
        <v>24</v>
      </c>
      <c r="C743" t="s">
        <v>9</v>
      </c>
      <c r="D743" t="s">
        <v>14</v>
      </c>
      <c r="E743" t="s">
        <v>15</v>
      </c>
      <c r="F743">
        <v>7</v>
      </c>
      <c r="G743">
        <v>781.28</v>
      </c>
      <c r="H743">
        <v>5468.96</v>
      </c>
      <c r="I743">
        <f t="shared" si="44"/>
        <v>4</v>
      </c>
      <c r="J743" t="str">
        <f t="shared" si="45"/>
        <v>Apr</v>
      </c>
      <c r="K743">
        <f t="shared" si="46"/>
        <v>3</v>
      </c>
      <c r="L743" t="str">
        <f t="shared" si="47"/>
        <v>Tue</v>
      </c>
    </row>
    <row r="744" spans="1:12" x14ac:dyDescent="0.25">
      <c r="A744" s="1">
        <v>45720</v>
      </c>
      <c r="B744" t="s">
        <v>16</v>
      </c>
      <c r="C744" t="s">
        <v>9</v>
      </c>
      <c r="D744" t="s">
        <v>14</v>
      </c>
      <c r="E744" t="s">
        <v>26</v>
      </c>
      <c r="F744">
        <v>11</v>
      </c>
      <c r="G744">
        <v>2380.0100000000002</v>
      </c>
      <c r="H744">
        <v>26180.11</v>
      </c>
      <c r="I744">
        <f t="shared" si="44"/>
        <v>3</v>
      </c>
      <c r="J744" t="str">
        <f t="shared" si="45"/>
        <v>Mar</v>
      </c>
      <c r="K744">
        <f t="shared" si="46"/>
        <v>3</v>
      </c>
      <c r="L744" t="str">
        <f t="shared" si="47"/>
        <v>Tue</v>
      </c>
    </row>
    <row r="745" spans="1:12" x14ac:dyDescent="0.25">
      <c r="A745" s="1">
        <v>45899</v>
      </c>
      <c r="B745" t="s">
        <v>16</v>
      </c>
      <c r="C745" t="s">
        <v>13</v>
      </c>
      <c r="D745" t="s">
        <v>17</v>
      </c>
      <c r="E745" t="s">
        <v>11</v>
      </c>
      <c r="F745">
        <v>16</v>
      </c>
      <c r="G745">
        <v>1766.95</v>
      </c>
      <c r="H745">
        <v>28271.200000000001</v>
      </c>
      <c r="I745">
        <f t="shared" si="44"/>
        <v>8</v>
      </c>
      <c r="J745" t="str">
        <f t="shared" si="45"/>
        <v>Aug</v>
      </c>
      <c r="K745">
        <f t="shared" si="46"/>
        <v>7</v>
      </c>
      <c r="L745" t="str">
        <f t="shared" si="47"/>
        <v>Sat</v>
      </c>
    </row>
    <row r="746" spans="1:12" x14ac:dyDescent="0.25">
      <c r="A746" s="1">
        <v>46020</v>
      </c>
      <c r="B746" t="s">
        <v>12</v>
      </c>
      <c r="C746" t="s">
        <v>9</v>
      </c>
      <c r="D746" t="s">
        <v>19</v>
      </c>
      <c r="E746" t="s">
        <v>26</v>
      </c>
      <c r="F746">
        <v>15</v>
      </c>
      <c r="G746">
        <v>776.61</v>
      </c>
      <c r="H746">
        <v>11649.15</v>
      </c>
      <c r="I746">
        <f t="shared" si="44"/>
        <v>12</v>
      </c>
      <c r="J746" t="str">
        <f t="shared" si="45"/>
        <v>Dec</v>
      </c>
      <c r="K746">
        <f t="shared" si="46"/>
        <v>2</v>
      </c>
      <c r="L746" t="str">
        <f t="shared" si="47"/>
        <v>Mon</v>
      </c>
    </row>
    <row r="747" spans="1:12" x14ac:dyDescent="0.25">
      <c r="A747" s="1">
        <v>45919</v>
      </c>
      <c r="B747" t="s">
        <v>20</v>
      </c>
      <c r="C747" t="s">
        <v>21</v>
      </c>
      <c r="D747" t="s">
        <v>10</v>
      </c>
      <c r="E747" t="s">
        <v>18</v>
      </c>
      <c r="F747">
        <v>12</v>
      </c>
      <c r="G747">
        <v>1419.45</v>
      </c>
      <c r="H747">
        <v>17033.400000000001</v>
      </c>
      <c r="I747">
        <f t="shared" si="44"/>
        <v>9</v>
      </c>
      <c r="J747" t="str">
        <f t="shared" si="45"/>
        <v>Sep</v>
      </c>
      <c r="K747">
        <f t="shared" si="46"/>
        <v>6</v>
      </c>
      <c r="L747" t="str">
        <f t="shared" si="47"/>
        <v>Fri</v>
      </c>
    </row>
    <row r="748" spans="1:12" x14ac:dyDescent="0.25">
      <c r="A748" s="1">
        <v>45700</v>
      </c>
      <c r="B748" t="s">
        <v>39</v>
      </c>
      <c r="C748" t="s">
        <v>13</v>
      </c>
      <c r="D748" t="s">
        <v>17</v>
      </c>
      <c r="E748" t="s">
        <v>22</v>
      </c>
      <c r="F748">
        <v>4</v>
      </c>
      <c r="G748">
        <v>17855.75</v>
      </c>
      <c r="H748">
        <v>71423</v>
      </c>
      <c r="I748">
        <f t="shared" si="44"/>
        <v>2</v>
      </c>
      <c r="J748" t="str">
        <f t="shared" si="45"/>
        <v>Feb</v>
      </c>
      <c r="K748">
        <f t="shared" si="46"/>
        <v>4</v>
      </c>
      <c r="L748" t="str">
        <f t="shared" si="47"/>
        <v>Wed</v>
      </c>
    </row>
    <row r="749" spans="1:12" x14ac:dyDescent="0.25">
      <c r="A749" s="1">
        <v>45981</v>
      </c>
      <c r="B749" t="s">
        <v>12</v>
      </c>
      <c r="C749" t="s">
        <v>21</v>
      </c>
      <c r="D749" t="s">
        <v>17</v>
      </c>
      <c r="E749" t="s">
        <v>18</v>
      </c>
      <c r="F749">
        <v>5</v>
      </c>
      <c r="G749">
        <v>675.1</v>
      </c>
      <c r="H749">
        <v>3375.5</v>
      </c>
      <c r="I749">
        <f t="shared" si="44"/>
        <v>11</v>
      </c>
      <c r="J749" t="str">
        <f t="shared" si="45"/>
        <v>Nov</v>
      </c>
      <c r="K749">
        <f t="shared" si="46"/>
        <v>5</v>
      </c>
      <c r="L749" t="str">
        <f t="shared" si="47"/>
        <v>Thu</v>
      </c>
    </row>
    <row r="750" spans="1:12" x14ac:dyDescent="0.25">
      <c r="A750" s="1">
        <v>45926</v>
      </c>
      <c r="B750" t="s">
        <v>12</v>
      </c>
      <c r="C750" t="s">
        <v>13</v>
      </c>
      <c r="D750" t="s">
        <v>17</v>
      </c>
      <c r="E750" t="s">
        <v>18</v>
      </c>
      <c r="F750">
        <v>5</v>
      </c>
      <c r="G750">
        <v>1022.87</v>
      </c>
      <c r="H750">
        <v>5114.3500000000004</v>
      </c>
      <c r="I750">
        <f t="shared" si="44"/>
        <v>9</v>
      </c>
      <c r="J750" t="str">
        <f t="shared" si="45"/>
        <v>Sep</v>
      </c>
      <c r="K750">
        <f t="shared" si="46"/>
        <v>6</v>
      </c>
      <c r="L750" t="str">
        <f t="shared" si="47"/>
        <v>Fri</v>
      </c>
    </row>
    <row r="751" spans="1:12" x14ac:dyDescent="0.25">
      <c r="A751" s="1">
        <v>45884</v>
      </c>
      <c r="B751" t="s">
        <v>8</v>
      </c>
      <c r="C751" t="s">
        <v>13</v>
      </c>
      <c r="D751" t="s">
        <v>17</v>
      </c>
      <c r="E751" t="s">
        <v>26</v>
      </c>
      <c r="F751">
        <v>5</v>
      </c>
      <c r="G751">
        <v>1387.32</v>
      </c>
      <c r="H751">
        <v>6936.6</v>
      </c>
      <c r="I751">
        <f t="shared" si="44"/>
        <v>8</v>
      </c>
      <c r="J751" t="str">
        <f t="shared" si="45"/>
        <v>Aug</v>
      </c>
      <c r="K751">
        <f t="shared" si="46"/>
        <v>6</v>
      </c>
      <c r="L751" t="str">
        <f t="shared" si="47"/>
        <v>Fri</v>
      </c>
    </row>
    <row r="752" spans="1:12" x14ac:dyDescent="0.25">
      <c r="A752" s="1">
        <v>45941</v>
      </c>
      <c r="B752" t="s">
        <v>8</v>
      </c>
      <c r="C752" t="s">
        <v>9</v>
      </c>
      <c r="D752" t="s">
        <v>14</v>
      </c>
      <c r="E752" t="s">
        <v>18</v>
      </c>
      <c r="F752">
        <v>2</v>
      </c>
      <c r="G752">
        <v>1134.0899999999999</v>
      </c>
      <c r="H752">
        <v>2268.1799999999998</v>
      </c>
      <c r="I752">
        <f t="shared" si="44"/>
        <v>10</v>
      </c>
      <c r="J752" t="str">
        <f t="shared" si="45"/>
        <v>Oct</v>
      </c>
      <c r="K752">
        <f t="shared" si="46"/>
        <v>7</v>
      </c>
      <c r="L752" t="str">
        <f t="shared" si="47"/>
        <v>Sat</v>
      </c>
    </row>
    <row r="753" spans="1:12" x14ac:dyDescent="0.25">
      <c r="A753" s="1">
        <v>45928</v>
      </c>
      <c r="B753" t="s">
        <v>16</v>
      </c>
      <c r="C753" t="s">
        <v>9</v>
      </c>
      <c r="D753" t="s">
        <v>14</v>
      </c>
      <c r="E753" t="s">
        <v>18</v>
      </c>
      <c r="F753">
        <v>13</v>
      </c>
      <c r="G753">
        <v>2256.3000000000002</v>
      </c>
      <c r="H753">
        <v>29331.9</v>
      </c>
      <c r="I753">
        <f t="shared" si="44"/>
        <v>9</v>
      </c>
      <c r="J753" t="str">
        <f t="shared" si="45"/>
        <v>Sep</v>
      </c>
      <c r="K753">
        <f t="shared" si="46"/>
        <v>1</v>
      </c>
      <c r="L753" t="str">
        <f t="shared" si="47"/>
        <v>Sun</v>
      </c>
    </row>
    <row r="754" spans="1:12" x14ac:dyDescent="0.25">
      <c r="A754" s="1">
        <v>45691</v>
      </c>
      <c r="B754" t="s">
        <v>25</v>
      </c>
      <c r="C754" t="s">
        <v>9</v>
      </c>
      <c r="D754" t="s">
        <v>19</v>
      </c>
      <c r="E754" t="s">
        <v>27</v>
      </c>
      <c r="F754">
        <v>15</v>
      </c>
      <c r="G754">
        <v>3074.3</v>
      </c>
      <c r="H754">
        <v>46114.5</v>
      </c>
      <c r="I754">
        <f t="shared" si="44"/>
        <v>2</v>
      </c>
      <c r="J754" t="str">
        <f t="shared" si="45"/>
        <v>Feb</v>
      </c>
      <c r="K754">
        <f t="shared" si="46"/>
        <v>2</v>
      </c>
      <c r="L754" t="str">
        <f t="shared" si="47"/>
        <v>Mon</v>
      </c>
    </row>
    <row r="755" spans="1:12" x14ac:dyDescent="0.25">
      <c r="A755" s="1">
        <v>45887</v>
      </c>
      <c r="B755" t="s">
        <v>23</v>
      </c>
      <c r="C755" t="s">
        <v>13</v>
      </c>
      <c r="D755" t="s">
        <v>14</v>
      </c>
      <c r="E755" t="s">
        <v>18</v>
      </c>
      <c r="F755">
        <v>15</v>
      </c>
      <c r="G755">
        <v>939.45</v>
      </c>
      <c r="H755">
        <v>14091.75</v>
      </c>
      <c r="I755">
        <f t="shared" si="44"/>
        <v>8</v>
      </c>
      <c r="J755" t="str">
        <f t="shared" si="45"/>
        <v>Aug</v>
      </c>
      <c r="K755">
        <f t="shared" si="46"/>
        <v>2</v>
      </c>
      <c r="L755" t="str">
        <f t="shared" si="47"/>
        <v>Mon</v>
      </c>
    </row>
    <row r="756" spans="1:12" x14ac:dyDescent="0.25">
      <c r="A756" s="1">
        <v>45804</v>
      </c>
      <c r="B756" t="s">
        <v>40</v>
      </c>
      <c r="C756" t="s">
        <v>21</v>
      </c>
      <c r="D756" t="s">
        <v>14</v>
      </c>
      <c r="E756" t="s">
        <v>15</v>
      </c>
      <c r="F756">
        <v>11</v>
      </c>
      <c r="G756">
        <v>4581.42</v>
      </c>
      <c r="H756">
        <v>50395.62</v>
      </c>
      <c r="I756">
        <f t="shared" si="44"/>
        <v>5</v>
      </c>
      <c r="J756" t="str">
        <f t="shared" si="45"/>
        <v>May</v>
      </c>
      <c r="K756">
        <f t="shared" si="46"/>
        <v>3</v>
      </c>
      <c r="L756" t="str">
        <f t="shared" si="47"/>
        <v>Tue</v>
      </c>
    </row>
    <row r="757" spans="1:12" x14ac:dyDescent="0.25">
      <c r="A757" s="1">
        <v>45980</v>
      </c>
      <c r="B757" t="s">
        <v>16</v>
      </c>
      <c r="C757" t="s">
        <v>9</v>
      </c>
      <c r="D757" t="s">
        <v>14</v>
      </c>
      <c r="E757" t="s">
        <v>18</v>
      </c>
      <c r="F757">
        <v>10</v>
      </c>
      <c r="G757">
        <v>2506.9299999999998</v>
      </c>
      <c r="H757">
        <v>25069.3</v>
      </c>
      <c r="I757">
        <f t="shared" si="44"/>
        <v>11</v>
      </c>
      <c r="J757" t="str">
        <f t="shared" si="45"/>
        <v>Nov</v>
      </c>
      <c r="K757">
        <f t="shared" si="46"/>
        <v>4</v>
      </c>
      <c r="L757" t="str">
        <f t="shared" si="47"/>
        <v>Wed</v>
      </c>
    </row>
    <row r="758" spans="1:12" x14ac:dyDescent="0.25">
      <c r="A758" s="1">
        <v>45724</v>
      </c>
      <c r="B758" t="s">
        <v>23</v>
      </c>
      <c r="C758" t="s">
        <v>21</v>
      </c>
      <c r="D758" t="s">
        <v>14</v>
      </c>
      <c r="E758" t="s">
        <v>11</v>
      </c>
      <c r="F758">
        <v>19</v>
      </c>
      <c r="G758">
        <v>1032.8800000000001</v>
      </c>
      <c r="H758">
        <v>19624.72</v>
      </c>
      <c r="I758">
        <f t="shared" si="44"/>
        <v>3</v>
      </c>
      <c r="J758" t="str">
        <f t="shared" si="45"/>
        <v>Mar</v>
      </c>
      <c r="K758">
        <f t="shared" si="46"/>
        <v>7</v>
      </c>
      <c r="L758" t="str">
        <f t="shared" si="47"/>
        <v>Sat</v>
      </c>
    </row>
    <row r="759" spans="1:12" x14ac:dyDescent="0.25">
      <c r="A759" s="1">
        <v>45944</v>
      </c>
      <c r="B759" t="s">
        <v>16</v>
      </c>
      <c r="C759" t="s">
        <v>13</v>
      </c>
      <c r="D759" t="s">
        <v>19</v>
      </c>
      <c r="E759" t="s">
        <v>26</v>
      </c>
      <c r="F759">
        <v>2</v>
      </c>
      <c r="G759">
        <v>2678.16</v>
      </c>
      <c r="H759">
        <v>5356.32</v>
      </c>
      <c r="I759">
        <f t="shared" si="44"/>
        <v>10</v>
      </c>
      <c r="J759" t="str">
        <f t="shared" si="45"/>
        <v>Oct</v>
      </c>
      <c r="K759">
        <f t="shared" si="46"/>
        <v>3</v>
      </c>
      <c r="L759" t="str">
        <f t="shared" si="47"/>
        <v>Tue</v>
      </c>
    </row>
    <row r="760" spans="1:12" x14ac:dyDescent="0.25">
      <c r="A760" s="1">
        <v>45929</v>
      </c>
      <c r="B760" t="s">
        <v>20</v>
      </c>
      <c r="C760" t="s">
        <v>9</v>
      </c>
      <c r="D760" t="s">
        <v>10</v>
      </c>
      <c r="E760" t="s">
        <v>11</v>
      </c>
      <c r="F760">
        <v>1</v>
      </c>
      <c r="G760">
        <v>1166.26</v>
      </c>
      <c r="H760">
        <v>1166.26</v>
      </c>
      <c r="I760">
        <f t="shared" si="44"/>
        <v>9</v>
      </c>
      <c r="J760" t="str">
        <f t="shared" si="45"/>
        <v>Sep</v>
      </c>
      <c r="K760">
        <f t="shared" si="46"/>
        <v>2</v>
      </c>
      <c r="L760" t="str">
        <f t="shared" si="47"/>
        <v>Mon</v>
      </c>
    </row>
    <row r="761" spans="1:12" x14ac:dyDescent="0.25">
      <c r="A761" s="1">
        <v>45997</v>
      </c>
      <c r="B761" t="s">
        <v>8</v>
      </c>
      <c r="C761" t="s">
        <v>13</v>
      </c>
      <c r="D761" t="s">
        <v>14</v>
      </c>
      <c r="E761" t="s">
        <v>26</v>
      </c>
      <c r="F761">
        <v>12</v>
      </c>
      <c r="G761">
        <v>868.9</v>
      </c>
      <c r="H761">
        <v>10426.799999999999</v>
      </c>
      <c r="I761">
        <f t="shared" si="44"/>
        <v>12</v>
      </c>
      <c r="J761" t="str">
        <f t="shared" si="45"/>
        <v>Dec</v>
      </c>
      <c r="K761">
        <f t="shared" si="46"/>
        <v>7</v>
      </c>
      <c r="L761" t="str">
        <f t="shared" si="47"/>
        <v>Sat</v>
      </c>
    </row>
    <row r="762" spans="1:12" x14ac:dyDescent="0.25">
      <c r="A762" s="1">
        <v>45881</v>
      </c>
      <c r="B762" t="s">
        <v>39</v>
      </c>
      <c r="C762" t="s">
        <v>13</v>
      </c>
      <c r="D762" t="s">
        <v>19</v>
      </c>
      <c r="E762" t="s">
        <v>15</v>
      </c>
      <c r="F762">
        <v>10</v>
      </c>
      <c r="G762">
        <v>17623.169999999998</v>
      </c>
      <c r="H762">
        <v>176231.7</v>
      </c>
      <c r="I762">
        <f t="shared" si="44"/>
        <v>8</v>
      </c>
      <c r="J762" t="str">
        <f t="shared" si="45"/>
        <v>Aug</v>
      </c>
      <c r="K762">
        <f t="shared" si="46"/>
        <v>3</v>
      </c>
      <c r="L762" t="str">
        <f t="shared" si="47"/>
        <v>Tue</v>
      </c>
    </row>
    <row r="763" spans="1:12" x14ac:dyDescent="0.25">
      <c r="A763" s="1">
        <v>45762</v>
      </c>
      <c r="B763" t="s">
        <v>41</v>
      </c>
      <c r="C763" t="s">
        <v>13</v>
      </c>
      <c r="D763" t="s">
        <v>14</v>
      </c>
      <c r="E763" t="s">
        <v>11</v>
      </c>
      <c r="F763">
        <v>8</v>
      </c>
      <c r="G763">
        <v>453.58</v>
      </c>
      <c r="H763">
        <v>3628.64</v>
      </c>
      <c r="I763">
        <f t="shared" si="44"/>
        <v>4</v>
      </c>
      <c r="J763" t="str">
        <f t="shared" si="45"/>
        <v>Apr</v>
      </c>
      <c r="K763">
        <f t="shared" si="46"/>
        <v>3</v>
      </c>
      <c r="L763" t="str">
        <f t="shared" si="47"/>
        <v>Tue</v>
      </c>
    </row>
    <row r="764" spans="1:12" x14ac:dyDescent="0.25">
      <c r="A764" s="1">
        <v>45987</v>
      </c>
      <c r="B764" t="s">
        <v>23</v>
      </c>
      <c r="C764" t="s">
        <v>13</v>
      </c>
      <c r="D764" t="s">
        <v>14</v>
      </c>
      <c r="E764" t="s">
        <v>11</v>
      </c>
      <c r="F764">
        <v>17</v>
      </c>
      <c r="G764">
        <v>1013.09</v>
      </c>
      <c r="H764">
        <v>17222.53</v>
      </c>
      <c r="I764">
        <f t="shared" si="44"/>
        <v>11</v>
      </c>
      <c r="J764" t="str">
        <f t="shared" si="45"/>
        <v>Nov</v>
      </c>
      <c r="K764">
        <f t="shared" si="46"/>
        <v>4</v>
      </c>
      <c r="L764" t="str">
        <f t="shared" si="47"/>
        <v>Wed</v>
      </c>
    </row>
    <row r="765" spans="1:12" x14ac:dyDescent="0.25">
      <c r="A765" s="1">
        <v>45961</v>
      </c>
      <c r="B765" t="s">
        <v>16</v>
      </c>
      <c r="C765" t="s">
        <v>21</v>
      </c>
      <c r="D765" t="s">
        <v>14</v>
      </c>
      <c r="E765" t="s">
        <v>18</v>
      </c>
      <c r="F765">
        <v>6</v>
      </c>
      <c r="G765">
        <v>1965.09</v>
      </c>
      <c r="H765">
        <v>11790.54</v>
      </c>
      <c r="I765">
        <f t="shared" si="44"/>
        <v>10</v>
      </c>
      <c r="J765" t="str">
        <f t="shared" si="45"/>
        <v>Oct</v>
      </c>
      <c r="K765">
        <f t="shared" si="46"/>
        <v>6</v>
      </c>
      <c r="L765" t="str">
        <f t="shared" si="47"/>
        <v>Fri</v>
      </c>
    </row>
    <row r="766" spans="1:12" x14ac:dyDescent="0.25">
      <c r="A766" s="1">
        <v>45752</v>
      </c>
      <c r="B766" t="s">
        <v>12</v>
      </c>
      <c r="C766" t="s">
        <v>21</v>
      </c>
      <c r="D766" t="s">
        <v>19</v>
      </c>
      <c r="E766" t="s">
        <v>15</v>
      </c>
      <c r="F766">
        <v>13</v>
      </c>
      <c r="G766">
        <v>987.02</v>
      </c>
      <c r="H766">
        <v>12831.26</v>
      </c>
      <c r="I766">
        <f t="shared" si="44"/>
        <v>4</v>
      </c>
      <c r="J766" t="str">
        <f t="shared" si="45"/>
        <v>Apr</v>
      </c>
      <c r="K766">
        <f t="shared" si="46"/>
        <v>7</v>
      </c>
      <c r="L766" t="str">
        <f t="shared" si="47"/>
        <v>Sat</v>
      </c>
    </row>
    <row r="767" spans="1:12" x14ac:dyDescent="0.25">
      <c r="A767" s="1">
        <v>45699</v>
      </c>
      <c r="B767" t="s">
        <v>24</v>
      </c>
      <c r="C767" t="s">
        <v>21</v>
      </c>
      <c r="D767" t="s">
        <v>19</v>
      </c>
      <c r="E767" t="s">
        <v>15</v>
      </c>
      <c r="F767">
        <v>18</v>
      </c>
      <c r="G767">
        <v>727</v>
      </c>
      <c r="H767">
        <v>13086</v>
      </c>
      <c r="I767">
        <f t="shared" si="44"/>
        <v>2</v>
      </c>
      <c r="J767" t="str">
        <f t="shared" si="45"/>
        <v>Feb</v>
      </c>
      <c r="K767">
        <f t="shared" si="46"/>
        <v>3</v>
      </c>
      <c r="L767" t="str">
        <f t="shared" si="47"/>
        <v>Tue</v>
      </c>
    </row>
    <row r="768" spans="1:12" x14ac:dyDescent="0.25">
      <c r="A768" s="1">
        <v>45698</v>
      </c>
      <c r="B768" t="s">
        <v>16</v>
      </c>
      <c r="C768" t="s">
        <v>21</v>
      </c>
      <c r="D768" t="s">
        <v>17</v>
      </c>
      <c r="E768" t="s">
        <v>26</v>
      </c>
      <c r="F768">
        <v>12</v>
      </c>
      <c r="G768">
        <v>2247.96</v>
      </c>
      <c r="H768">
        <v>26975.52</v>
      </c>
      <c r="I768">
        <f t="shared" si="44"/>
        <v>2</v>
      </c>
      <c r="J768" t="str">
        <f t="shared" si="45"/>
        <v>Feb</v>
      </c>
      <c r="K768">
        <f t="shared" si="46"/>
        <v>2</v>
      </c>
      <c r="L768" t="str">
        <f t="shared" si="47"/>
        <v>Mon</v>
      </c>
    </row>
    <row r="769" spans="1:12" x14ac:dyDescent="0.25">
      <c r="A769" s="1">
        <v>45732</v>
      </c>
      <c r="B769" t="s">
        <v>12</v>
      </c>
      <c r="C769" t="s">
        <v>9</v>
      </c>
      <c r="D769" t="s">
        <v>14</v>
      </c>
      <c r="E769" t="s">
        <v>18</v>
      </c>
      <c r="F769">
        <v>2</v>
      </c>
      <c r="G769">
        <v>1084.69</v>
      </c>
      <c r="H769">
        <v>2169.38</v>
      </c>
      <c r="I769">
        <f t="shared" si="44"/>
        <v>3</v>
      </c>
      <c r="J769" t="str">
        <f t="shared" si="45"/>
        <v>Mar</v>
      </c>
      <c r="K769">
        <f t="shared" si="46"/>
        <v>1</v>
      </c>
      <c r="L769" t="str">
        <f t="shared" si="47"/>
        <v>Sun</v>
      </c>
    </row>
    <row r="770" spans="1:12" x14ac:dyDescent="0.25">
      <c r="A770" s="1">
        <v>45696</v>
      </c>
      <c r="B770" t="s">
        <v>16</v>
      </c>
      <c r="C770" t="s">
        <v>9</v>
      </c>
      <c r="D770" t="s">
        <v>10</v>
      </c>
      <c r="E770" t="s">
        <v>18</v>
      </c>
      <c r="F770">
        <v>4</v>
      </c>
      <c r="G770">
        <v>2011.97</v>
      </c>
      <c r="H770">
        <v>8047.88</v>
      </c>
      <c r="I770">
        <f t="shared" ref="I770:I833" si="48">MONTH(A770)</f>
        <v>2</v>
      </c>
      <c r="J770" t="str">
        <f t="shared" ref="J770:J833" si="49">TEXT(A770,"MMM")</f>
        <v>Feb</v>
      </c>
      <c r="K770">
        <f t="shared" ref="K770:K833" si="50">WEEKDAY(A770,1)</f>
        <v>7</v>
      </c>
      <c r="L770" t="str">
        <f t="shared" ref="L770:L833" si="51">TEXT(K770,"DDD")</f>
        <v>Sat</v>
      </c>
    </row>
    <row r="771" spans="1:12" x14ac:dyDescent="0.25">
      <c r="A771" s="1">
        <v>45815</v>
      </c>
      <c r="B771" t="s">
        <v>40</v>
      </c>
      <c r="C771" t="s">
        <v>21</v>
      </c>
      <c r="D771" t="s">
        <v>14</v>
      </c>
      <c r="E771" t="s">
        <v>15</v>
      </c>
      <c r="F771">
        <v>15</v>
      </c>
      <c r="G771">
        <v>6171.15</v>
      </c>
      <c r="H771">
        <v>92567.25</v>
      </c>
      <c r="I771">
        <f t="shared" si="48"/>
        <v>6</v>
      </c>
      <c r="J771" t="str">
        <f t="shared" si="49"/>
        <v>Jun</v>
      </c>
      <c r="K771">
        <f t="shared" si="50"/>
        <v>7</v>
      </c>
      <c r="L771" t="str">
        <f t="shared" si="51"/>
        <v>Sat</v>
      </c>
    </row>
    <row r="772" spans="1:12" x14ac:dyDescent="0.25">
      <c r="A772" s="1">
        <v>45812</v>
      </c>
      <c r="B772" t="s">
        <v>8</v>
      </c>
      <c r="C772" t="s">
        <v>9</v>
      </c>
      <c r="D772" t="s">
        <v>10</v>
      </c>
      <c r="E772" t="s">
        <v>22</v>
      </c>
      <c r="F772">
        <v>10</v>
      </c>
      <c r="G772">
        <v>1233.6199999999999</v>
      </c>
      <c r="H772">
        <v>12336.2</v>
      </c>
      <c r="I772">
        <f t="shared" si="48"/>
        <v>6</v>
      </c>
      <c r="J772" t="str">
        <f t="shared" si="49"/>
        <v>Jun</v>
      </c>
      <c r="K772">
        <f t="shared" si="50"/>
        <v>4</v>
      </c>
      <c r="L772" t="str">
        <f t="shared" si="51"/>
        <v>Wed</v>
      </c>
    </row>
    <row r="773" spans="1:12" x14ac:dyDescent="0.25">
      <c r="A773" s="1">
        <v>46013</v>
      </c>
      <c r="B773" t="s">
        <v>16</v>
      </c>
      <c r="C773" t="s">
        <v>21</v>
      </c>
      <c r="D773" t="s">
        <v>14</v>
      </c>
      <c r="E773" t="s">
        <v>26</v>
      </c>
      <c r="F773">
        <v>12</v>
      </c>
      <c r="G773">
        <v>1976.03</v>
      </c>
      <c r="H773">
        <v>23712.36</v>
      </c>
      <c r="I773">
        <f t="shared" si="48"/>
        <v>12</v>
      </c>
      <c r="J773" t="str">
        <f t="shared" si="49"/>
        <v>Dec</v>
      </c>
      <c r="K773">
        <f t="shared" si="50"/>
        <v>2</v>
      </c>
      <c r="L773" t="str">
        <f t="shared" si="51"/>
        <v>Mon</v>
      </c>
    </row>
    <row r="774" spans="1:12" x14ac:dyDescent="0.25">
      <c r="A774" s="1">
        <v>45693</v>
      </c>
      <c r="B774" t="s">
        <v>8</v>
      </c>
      <c r="C774" t="s">
        <v>21</v>
      </c>
      <c r="D774" t="s">
        <v>14</v>
      </c>
      <c r="E774" t="s">
        <v>15</v>
      </c>
      <c r="F774">
        <v>4</v>
      </c>
      <c r="G774">
        <v>1275.95</v>
      </c>
      <c r="H774">
        <v>5103.8</v>
      </c>
      <c r="I774">
        <f t="shared" si="48"/>
        <v>2</v>
      </c>
      <c r="J774" t="str">
        <f t="shared" si="49"/>
        <v>Feb</v>
      </c>
      <c r="K774">
        <f t="shared" si="50"/>
        <v>4</v>
      </c>
      <c r="L774" t="str">
        <f t="shared" si="51"/>
        <v>Wed</v>
      </c>
    </row>
    <row r="775" spans="1:12" x14ac:dyDescent="0.25">
      <c r="A775" s="1">
        <v>45752</v>
      </c>
      <c r="B775" t="s">
        <v>39</v>
      </c>
      <c r="C775" t="s">
        <v>9</v>
      </c>
      <c r="D775" t="s">
        <v>19</v>
      </c>
      <c r="E775" t="s">
        <v>27</v>
      </c>
      <c r="F775">
        <v>18</v>
      </c>
      <c r="G775">
        <v>15730.76</v>
      </c>
      <c r="H775">
        <v>283153.68</v>
      </c>
      <c r="I775">
        <f t="shared" si="48"/>
        <v>4</v>
      </c>
      <c r="J775" t="str">
        <f t="shared" si="49"/>
        <v>Apr</v>
      </c>
      <c r="K775">
        <f t="shared" si="50"/>
        <v>7</v>
      </c>
      <c r="L775" t="str">
        <f t="shared" si="51"/>
        <v>Sat</v>
      </c>
    </row>
    <row r="776" spans="1:12" x14ac:dyDescent="0.25">
      <c r="A776" s="1">
        <v>45807</v>
      </c>
      <c r="B776" t="s">
        <v>24</v>
      </c>
      <c r="C776" t="s">
        <v>9</v>
      </c>
      <c r="D776" t="s">
        <v>19</v>
      </c>
      <c r="E776" t="s">
        <v>11</v>
      </c>
      <c r="F776">
        <v>14</v>
      </c>
      <c r="G776">
        <v>965.42</v>
      </c>
      <c r="H776">
        <v>13515.88</v>
      </c>
      <c r="I776">
        <f t="shared" si="48"/>
        <v>5</v>
      </c>
      <c r="J776" t="str">
        <f t="shared" si="49"/>
        <v>May</v>
      </c>
      <c r="K776">
        <f t="shared" si="50"/>
        <v>6</v>
      </c>
      <c r="L776" t="str">
        <f t="shared" si="51"/>
        <v>Fri</v>
      </c>
    </row>
    <row r="777" spans="1:12" x14ac:dyDescent="0.25">
      <c r="A777" s="1">
        <v>45862</v>
      </c>
      <c r="B777" t="s">
        <v>25</v>
      </c>
      <c r="C777" t="s">
        <v>9</v>
      </c>
      <c r="D777" t="s">
        <v>17</v>
      </c>
      <c r="E777" t="s">
        <v>15</v>
      </c>
      <c r="F777">
        <v>7</v>
      </c>
      <c r="G777">
        <v>2715.17</v>
      </c>
      <c r="H777">
        <v>19006.189999999999</v>
      </c>
      <c r="I777">
        <f t="shared" si="48"/>
        <v>7</v>
      </c>
      <c r="J777" t="str">
        <f t="shared" si="49"/>
        <v>Jul</v>
      </c>
      <c r="K777">
        <f t="shared" si="50"/>
        <v>5</v>
      </c>
      <c r="L777" t="str">
        <f t="shared" si="51"/>
        <v>Thu</v>
      </c>
    </row>
    <row r="778" spans="1:12" x14ac:dyDescent="0.25">
      <c r="A778" s="1">
        <v>45672</v>
      </c>
      <c r="B778" t="s">
        <v>39</v>
      </c>
      <c r="C778" t="s">
        <v>9</v>
      </c>
      <c r="D778" t="s">
        <v>14</v>
      </c>
      <c r="E778" t="s">
        <v>18</v>
      </c>
      <c r="F778">
        <v>2</v>
      </c>
      <c r="G778">
        <v>13364.36</v>
      </c>
      <c r="H778">
        <v>26728.720000000001</v>
      </c>
      <c r="I778">
        <f t="shared" si="48"/>
        <v>1</v>
      </c>
      <c r="J778" t="str">
        <f t="shared" si="49"/>
        <v>Jan</v>
      </c>
      <c r="K778">
        <f t="shared" si="50"/>
        <v>4</v>
      </c>
      <c r="L778" t="str">
        <f t="shared" si="51"/>
        <v>Wed</v>
      </c>
    </row>
    <row r="779" spans="1:12" x14ac:dyDescent="0.25">
      <c r="A779" s="1">
        <v>45939</v>
      </c>
      <c r="B779" t="s">
        <v>8</v>
      </c>
      <c r="C779" t="s">
        <v>13</v>
      </c>
      <c r="D779" t="s">
        <v>19</v>
      </c>
      <c r="E779" t="s">
        <v>11</v>
      </c>
      <c r="F779">
        <v>14</v>
      </c>
      <c r="G779">
        <v>925.12</v>
      </c>
      <c r="H779">
        <v>12951.68</v>
      </c>
      <c r="I779">
        <f t="shared" si="48"/>
        <v>10</v>
      </c>
      <c r="J779" t="str">
        <f t="shared" si="49"/>
        <v>Oct</v>
      </c>
      <c r="K779">
        <f t="shared" si="50"/>
        <v>5</v>
      </c>
      <c r="L779" t="str">
        <f t="shared" si="51"/>
        <v>Thu</v>
      </c>
    </row>
    <row r="780" spans="1:12" x14ac:dyDescent="0.25">
      <c r="A780" s="1">
        <v>46009</v>
      </c>
      <c r="B780" t="s">
        <v>24</v>
      </c>
      <c r="C780" t="s">
        <v>13</v>
      </c>
      <c r="D780" t="s">
        <v>10</v>
      </c>
      <c r="E780" t="s">
        <v>22</v>
      </c>
      <c r="F780">
        <v>19</v>
      </c>
      <c r="G780">
        <v>788.93</v>
      </c>
      <c r="H780">
        <v>14989.67</v>
      </c>
      <c r="I780">
        <f t="shared" si="48"/>
        <v>12</v>
      </c>
      <c r="J780" t="str">
        <f t="shared" si="49"/>
        <v>Dec</v>
      </c>
      <c r="K780">
        <f t="shared" si="50"/>
        <v>5</v>
      </c>
      <c r="L780" t="str">
        <f t="shared" si="51"/>
        <v>Thu</v>
      </c>
    </row>
    <row r="781" spans="1:12" x14ac:dyDescent="0.25">
      <c r="A781" s="1">
        <v>45846</v>
      </c>
      <c r="B781" t="s">
        <v>20</v>
      </c>
      <c r="C781" t="s">
        <v>9</v>
      </c>
      <c r="D781" t="s">
        <v>10</v>
      </c>
      <c r="E781" t="s">
        <v>18</v>
      </c>
      <c r="F781">
        <v>3</v>
      </c>
      <c r="G781">
        <v>1858.91</v>
      </c>
      <c r="H781">
        <v>5576.73</v>
      </c>
      <c r="I781">
        <f t="shared" si="48"/>
        <v>7</v>
      </c>
      <c r="J781" t="str">
        <f t="shared" si="49"/>
        <v>Jul</v>
      </c>
      <c r="K781">
        <f t="shared" si="50"/>
        <v>3</v>
      </c>
      <c r="L781" t="str">
        <f t="shared" si="51"/>
        <v>Tue</v>
      </c>
    </row>
    <row r="782" spans="1:12" x14ac:dyDescent="0.25">
      <c r="A782" s="1">
        <v>45941</v>
      </c>
      <c r="B782" t="s">
        <v>25</v>
      </c>
      <c r="C782" t="s">
        <v>13</v>
      </c>
      <c r="D782" t="s">
        <v>17</v>
      </c>
      <c r="E782" t="s">
        <v>26</v>
      </c>
      <c r="F782">
        <v>13</v>
      </c>
      <c r="G782">
        <v>4526.55</v>
      </c>
      <c r="H782">
        <v>58845.15</v>
      </c>
      <c r="I782">
        <f t="shared" si="48"/>
        <v>10</v>
      </c>
      <c r="J782" t="str">
        <f t="shared" si="49"/>
        <v>Oct</v>
      </c>
      <c r="K782">
        <f t="shared" si="50"/>
        <v>7</v>
      </c>
      <c r="L782" t="str">
        <f t="shared" si="51"/>
        <v>Sat</v>
      </c>
    </row>
    <row r="783" spans="1:12" x14ac:dyDescent="0.25">
      <c r="A783" s="1">
        <v>45875</v>
      </c>
      <c r="B783" t="s">
        <v>40</v>
      </c>
      <c r="C783" t="s">
        <v>13</v>
      </c>
      <c r="D783" t="s">
        <v>17</v>
      </c>
      <c r="E783" t="s">
        <v>18</v>
      </c>
      <c r="F783">
        <v>12</v>
      </c>
      <c r="G783">
        <v>3789.93</v>
      </c>
      <c r="H783">
        <v>45479.16</v>
      </c>
      <c r="I783">
        <f t="shared" si="48"/>
        <v>8</v>
      </c>
      <c r="J783" t="str">
        <f t="shared" si="49"/>
        <v>Aug</v>
      </c>
      <c r="K783">
        <f t="shared" si="50"/>
        <v>4</v>
      </c>
      <c r="L783" t="str">
        <f t="shared" si="51"/>
        <v>Wed</v>
      </c>
    </row>
    <row r="784" spans="1:12" x14ac:dyDescent="0.25">
      <c r="A784" s="1">
        <v>45731</v>
      </c>
      <c r="B784" t="s">
        <v>20</v>
      </c>
      <c r="C784" t="s">
        <v>13</v>
      </c>
      <c r="D784" t="s">
        <v>14</v>
      </c>
      <c r="E784" t="s">
        <v>11</v>
      </c>
      <c r="F784">
        <v>16</v>
      </c>
      <c r="G784">
        <v>1946.01</v>
      </c>
      <c r="H784">
        <v>31136.16</v>
      </c>
      <c r="I784">
        <f t="shared" si="48"/>
        <v>3</v>
      </c>
      <c r="J784" t="str">
        <f t="shared" si="49"/>
        <v>Mar</v>
      </c>
      <c r="K784">
        <f t="shared" si="50"/>
        <v>7</v>
      </c>
      <c r="L784" t="str">
        <f t="shared" si="51"/>
        <v>Sat</v>
      </c>
    </row>
    <row r="785" spans="1:12" x14ac:dyDescent="0.25">
      <c r="A785" s="1">
        <v>45703</v>
      </c>
      <c r="B785" t="s">
        <v>23</v>
      </c>
      <c r="C785" t="s">
        <v>9</v>
      </c>
      <c r="D785" t="s">
        <v>10</v>
      </c>
      <c r="E785" t="s">
        <v>26</v>
      </c>
      <c r="F785">
        <v>15</v>
      </c>
      <c r="G785">
        <v>712.79</v>
      </c>
      <c r="H785">
        <v>10691.85</v>
      </c>
      <c r="I785">
        <f t="shared" si="48"/>
        <v>2</v>
      </c>
      <c r="J785" t="str">
        <f t="shared" si="49"/>
        <v>Feb</v>
      </c>
      <c r="K785">
        <f t="shared" si="50"/>
        <v>7</v>
      </c>
      <c r="L785" t="str">
        <f t="shared" si="51"/>
        <v>Sat</v>
      </c>
    </row>
    <row r="786" spans="1:12" x14ac:dyDescent="0.25">
      <c r="A786" s="1">
        <v>45850</v>
      </c>
      <c r="B786" t="s">
        <v>8</v>
      </c>
      <c r="C786" t="s">
        <v>21</v>
      </c>
      <c r="D786" t="s">
        <v>19</v>
      </c>
      <c r="E786" t="s">
        <v>15</v>
      </c>
      <c r="F786">
        <v>16</v>
      </c>
      <c r="G786">
        <v>935.91</v>
      </c>
      <c r="H786">
        <v>14974.56</v>
      </c>
      <c r="I786">
        <f t="shared" si="48"/>
        <v>7</v>
      </c>
      <c r="J786" t="str">
        <f t="shared" si="49"/>
        <v>Jul</v>
      </c>
      <c r="K786">
        <f t="shared" si="50"/>
        <v>7</v>
      </c>
      <c r="L786" t="str">
        <f t="shared" si="51"/>
        <v>Sat</v>
      </c>
    </row>
    <row r="787" spans="1:12" x14ac:dyDescent="0.25">
      <c r="A787" s="1">
        <v>45787</v>
      </c>
      <c r="B787" t="s">
        <v>23</v>
      </c>
      <c r="C787" t="s">
        <v>9</v>
      </c>
      <c r="D787" t="s">
        <v>10</v>
      </c>
      <c r="E787" t="s">
        <v>18</v>
      </c>
      <c r="F787">
        <v>12</v>
      </c>
      <c r="G787">
        <v>834.87</v>
      </c>
      <c r="H787">
        <v>10018.44</v>
      </c>
      <c r="I787">
        <f t="shared" si="48"/>
        <v>5</v>
      </c>
      <c r="J787" t="str">
        <f t="shared" si="49"/>
        <v>May</v>
      </c>
      <c r="K787">
        <f t="shared" si="50"/>
        <v>7</v>
      </c>
      <c r="L787" t="str">
        <f t="shared" si="51"/>
        <v>Sat</v>
      </c>
    </row>
    <row r="788" spans="1:12" x14ac:dyDescent="0.25">
      <c r="A788" s="1">
        <v>45932</v>
      </c>
      <c r="B788" t="s">
        <v>40</v>
      </c>
      <c r="C788" t="s">
        <v>13</v>
      </c>
      <c r="D788" t="s">
        <v>19</v>
      </c>
      <c r="E788" t="s">
        <v>11</v>
      </c>
      <c r="F788">
        <v>19</v>
      </c>
      <c r="G788">
        <v>5690.75</v>
      </c>
      <c r="H788">
        <v>108124.25</v>
      </c>
      <c r="I788">
        <f t="shared" si="48"/>
        <v>10</v>
      </c>
      <c r="J788" t="str">
        <f t="shared" si="49"/>
        <v>Oct</v>
      </c>
      <c r="K788">
        <f t="shared" si="50"/>
        <v>5</v>
      </c>
      <c r="L788" t="str">
        <f t="shared" si="51"/>
        <v>Thu</v>
      </c>
    </row>
    <row r="789" spans="1:12" x14ac:dyDescent="0.25">
      <c r="A789" s="1">
        <v>45829</v>
      </c>
      <c r="B789" t="s">
        <v>40</v>
      </c>
      <c r="C789" t="s">
        <v>21</v>
      </c>
      <c r="D789" t="s">
        <v>19</v>
      </c>
      <c r="E789" t="s">
        <v>27</v>
      </c>
      <c r="F789">
        <v>15</v>
      </c>
      <c r="G789">
        <v>5351.32</v>
      </c>
      <c r="H789">
        <v>80269.8</v>
      </c>
      <c r="I789">
        <f t="shared" si="48"/>
        <v>6</v>
      </c>
      <c r="J789" t="str">
        <f t="shared" si="49"/>
        <v>Jun</v>
      </c>
      <c r="K789">
        <f t="shared" si="50"/>
        <v>7</v>
      </c>
      <c r="L789" t="str">
        <f t="shared" si="51"/>
        <v>Sat</v>
      </c>
    </row>
    <row r="790" spans="1:12" x14ac:dyDescent="0.25">
      <c r="A790" s="1">
        <v>45998</v>
      </c>
      <c r="B790" t="s">
        <v>23</v>
      </c>
      <c r="C790" t="s">
        <v>21</v>
      </c>
      <c r="D790" t="s">
        <v>14</v>
      </c>
      <c r="E790" t="s">
        <v>11</v>
      </c>
      <c r="F790">
        <v>11</v>
      </c>
      <c r="G790">
        <v>693.37</v>
      </c>
      <c r="H790">
        <v>7627.07</v>
      </c>
      <c r="I790">
        <f t="shared" si="48"/>
        <v>12</v>
      </c>
      <c r="J790" t="str">
        <f t="shared" si="49"/>
        <v>Dec</v>
      </c>
      <c r="K790">
        <f t="shared" si="50"/>
        <v>1</v>
      </c>
      <c r="L790" t="str">
        <f t="shared" si="51"/>
        <v>Sun</v>
      </c>
    </row>
    <row r="791" spans="1:12" x14ac:dyDescent="0.25">
      <c r="A791" s="1">
        <v>45793</v>
      </c>
      <c r="B791" t="s">
        <v>8</v>
      </c>
      <c r="C791" t="s">
        <v>13</v>
      </c>
      <c r="D791" t="s">
        <v>19</v>
      </c>
      <c r="E791" t="s">
        <v>11</v>
      </c>
      <c r="F791">
        <v>12</v>
      </c>
      <c r="G791">
        <v>1181.4000000000001</v>
      </c>
      <c r="H791">
        <v>14176.8</v>
      </c>
      <c r="I791">
        <f t="shared" si="48"/>
        <v>5</v>
      </c>
      <c r="J791" t="str">
        <f t="shared" si="49"/>
        <v>May</v>
      </c>
      <c r="K791">
        <f t="shared" si="50"/>
        <v>6</v>
      </c>
      <c r="L791" t="str">
        <f t="shared" si="51"/>
        <v>Fri</v>
      </c>
    </row>
    <row r="792" spans="1:12" x14ac:dyDescent="0.25">
      <c r="A792" s="1">
        <v>45923</v>
      </c>
      <c r="B792" t="s">
        <v>12</v>
      </c>
      <c r="C792" t="s">
        <v>21</v>
      </c>
      <c r="D792" t="s">
        <v>10</v>
      </c>
      <c r="E792" t="s">
        <v>11</v>
      </c>
      <c r="F792">
        <v>6</v>
      </c>
      <c r="G792">
        <v>912.54</v>
      </c>
      <c r="H792">
        <v>5475.24</v>
      </c>
      <c r="I792">
        <f t="shared" si="48"/>
        <v>9</v>
      </c>
      <c r="J792" t="str">
        <f t="shared" si="49"/>
        <v>Sep</v>
      </c>
      <c r="K792">
        <f t="shared" si="50"/>
        <v>3</v>
      </c>
      <c r="L792" t="str">
        <f t="shared" si="51"/>
        <v>Tue</v>
      </c>
    </row>
    <row r="793" spans="1:12" x14ac:dyDescent="0.25">
      <c r="A793" s="1">
        <v>45931</v>
      </c>
      <c r="B793" t="s">
        <v>25</v>
      </c>
      <c r="C793" t="s">
        <v>21</v>
      </c>
      <c r="D793" t="s">
        <v>19</v>
      </c>
      <c r="E793" t="s">
        <v>15</v>
      </c>
      <c r="F793">
        <v>10</v>
      </c>
      <c r="G793">
        <v>2773.23</v>
      </c>
      <c r="H793">
        <v>27732.3</v>
      </c>
      <c r="I793">
        <f t="shared" si="48"/>
        <v>10</v>
      </c>
      <c r="J793" t="str">
        <f t="shared" si="49"/>
        <v>Oct</v>
      </c>
      <c r="K793">
        <f t="shared" si="50"/>
        <v>4</v>
      </c>
      <c r="L793" t="str">
        <f t="shared" si="51"/>
        <v>Wed</v>
      </c>
    </row>
    <row r="794" spans="1:12" x14ac:dyDescent="0.25">
      <c r="A794" s="1">
        <v>46011</v>
      </c>
      <c r="B794" t="s">
        <v>41</v>
      </c>
      <c r="C794" t="s">
        <v>13</v>
      </c>
      <c r="D794" t="s">
        <v>19</v>
      </c>
      <c r="E794" t="s">
        <v>11</v>
      </c>
      <c r="F794">
        <v>7</v>
      </c>
      <c r="G794">
        <v>587.83000000000004</v>
      </c>
      <c r="H794">
        <v>4114.8100000000004</v>
      </c>
      <c r="I794">
        <f t="shared" si="48"/>
        <v>12</v>
      </c>
      <c r="J794" t="str">
        <f t="shared" si="49"/>
        <v>Dec</v>
      </c>
      <c r="K794">
        <f t="shared" si="50"/>
        <v>7</v>
      </c>
      <c r="L794" t="str">
        <f t="shared" si="51"/>
        <v>Sat</v>
      </c>
    </row>
    <row r="795" spans="1:12" x14ac:dyDescent="0.25">
      <c r="A795" s="1">
        <v>45810</v>
      </c>
      <c r="B795" t="s">
        <v>25</v>
      </c>
      <c r="C795" t="s">
        <v>21</v>
      </c>
      <c r="D795" t="s">
        <v>19</v>
      </c>
      <c r="E795" t="s">
        <v>11</v>
      </c>
      <c r="F795">
        <v>19</v>
      </c>
      <c r="G795">
        <v>4363.8100000000004</v>
      </c>
      <c r="H795">
        <v>82912.39</v>
      </c>
      <c r="I795">
        <f t="shared" si="48"/>
        <v>6</v>
      </c>
      <c r="J795" t="str">
        <f t="shared" si="49"/>
        <v>Jun</v>
      </c>
      <c r="K795">
        <f t="shared" si="50"/>
        <v>2</v>
      </c>
      <c r="L795" t="str">
        <f t="shared" si="51"/>
        <v>Mon</v>
      </c>
    </row>
    <row r="796" spans="1:12" x14ac:dyDescent="0.25">
      <c r="A796" s="1">
        <v>45703</v>
      </c>
      <c r="B796" t="s">
        <v>24</v>
      </c>
      <c r="C796" t="s">
        <v>9</v>
      </c>
      <c r="D796" t="s">
        <v>17</v>
      </c>
      <c r="E796" t="s">
        <v>22</v>
      </c>
      <c r="F796">
        <v>4</v>
      </c>
      <c r="G796">
        <v>937.56</v>
      </c>
      <c r="H796">
        <v>3750.24</v>
      </c>
      <c r="I796">
        <f t="shared" si="48"/>
        <v>2</v>
      </c>
      <c r="J796" t="str">
        <f t="shared" si="49"/>
        <v>Feb</v>
      </c>
      <c r="K796">
        <f t="shared" si="50"/>
        <v>7</v>
      </c>
      <c r="L796" t="str">
        <f t="shared" si="51"/>
        <v>Sat</v>
      </c>
    </row>
    <row r="797" spans="1:12" x14ac:dyDescent="0.25">
      <c r="A797" s="1">
        <v>45961</v>
      </c>
      <c r="B797" t="s">
        <v>20</v>
      </c>
      <c r="C797" t="s">
        <v>21</v>
      </c>
      <c r="D797" t="s">
        <v>14</v>
      </c>
      <c r="E797" t="s">
        <v>11</v>
      </c>
      <c r="F797">
        <v>9</v>
      </c>
      <c r="G797">
        <v>1275.79</v>
      </c>
      <c r="H797">
        <v>11482.11</v>
      </c>
      <c r="I797">
        <f t="shared" si="48"/>
        <v>10</v>
      </c>
      <c r="J797" t="str">
        <f t="shared" si="49"/>
        <v>Oct</v>
      </c>
      <c r="K797">
        <f t="shared" si="50"/>
        <v>6</v>
      </c>
      <c r="L797" t="str">
        <f t="shared" si="51"/>
        <v>Fri</v>
      </c>
    </row>
    <row r="798" spans="1:12" x14ac:dyDescent="0.25">
      <c r="A798" s="1">
        <v>45935</v>
      </c>
      <c r="B798" t="s">
        <v>16</v>
      </c>
      <c r="C798" t="s">
        <v>13</v>
      </c>
      <c r="D798" t="s">
        <v>10</v>
      </c>
      <c r="E798" t="s">
        <v>22</v>
      </c>
      <c r="F798">
        <v>19</v>
      </c>
      <c r="G798">
        <v>1865.08</v>
      </c>
      <c r="H798">
        <v>35436.519999999997</v>
      </c>
      <c r="I798">
        <f t="shared" si="48"/>
        <v>10</v>
      </c>
      <c r="J798" t="str">
        <f t="shared" si="49"/>
        <v>Oct</v>
      </c>
      <c r="K798">
        <f t="shared" si="50"/>
        <v>1</v>
      </c>
      <c r="L798" t="str">
        <f t="shared" si="51"/>
        <v>Sun</v>
      </c>
    </row>
    <row r="799" spans="1:12" x14ac:dyDescent="0.25">
      <c r="A799" s="1">
        <v>45926</v>
      </c>
      <c r="B799" t="s">
        <v>23</v>
      </c>
      <c r="C799" t="s">
        <v>21</v>
      </c>
      <c r="D799" t="s">
        <v>19</v>
      </c>
      <c r="E799" t="s">
        <v>15</v>
      </c>
      <c r="F799">
        <v>3</v>
      </c>
      <c r="G799">
        <v>776.83</v>
      </c>
      <c r="H799">
        <v>2330.4899999999998</v>
      </c>
      <c r="I799">
        <f t="shared" si="48"/>
        <v>9</v>
      </c>
      <c r="J799" t="str">
        <f t="shared" si="49"/>
        <v>Sep</v>
      </c>
      <c r="K799">
        <f t="shared" si="50"/>
        <v>6</v>
      </c>
      <c r="L799" t="str">
        <f t="shared" si="51"/>
        <v>Fri</v>
      </c>
    </row>
    <row r="800" spans="1:12" x14ac:dyDescent="0.25">
      <c r="A800" s="1">
        <v>45749</v>
      </c>
      <c r="B800" t="s">
        <v>41</v>
      </c>
      <c r="C800" t="s">
        <v>9</v>
      </c>
      <c r="D800" t="s">
        <v>10</v>
      </c>
      <c r="E800" t="s">
        <v>26</v>
      </c>
      <c r="F800">
        <v>15</v>
      </c>
      <c r="G800">
        <v>641.91</v>
      </c>
      <c r="H800">
        <v>9628.65</v>
      </c>
      <c r="I800">
        <f t="shared" si="48"/>
        <v>4</v>
      </c>
      <c r="J800" t="str">
        <f t="shared" si="49"/>
        <v>Apr</v>
      </c>
      <c r="K800">
        <f t="shared" si="50"/>
        <v>4</v>
      </c>
      <c r="L800" t="str">
        <f t="shared" si="51"/>
        <v>Wed</v>
      </c>
    </row>
    <row r="801" spans="1:12" x14ac:dyDescent="0.25">
      <c r="A801" s="1">
        <v>45902</v>
      </c>
      <c r="B801" t="s">
        <v>8</v>
      </c>
      <c r="C801" t="s">
        <v>21</v>
      </c>
      <c r="D801" t="s">
        <v>14</v>
      </c>
      <c r="E801" t="s">
        <v>18</v>
      </c>
      <c r="F801">
        <v>10</v>
      </c>
      <c r="G801">
        <v>1365.95</v>
      </c>
      <c r="H801">
        <v>13659.5</v>
      </c>
      <c r="I801">
        <f t="shared" si="48"/>
        <v>9</v>
      </c>
      <c r="J801" t="str">
        <f t="shared" si="49"/>
        <v>Sep</v>
      </c>
      <c r="K801">
        <f t="shared" si="50"/>
        <v>3</v>
      </c>
      <c r="L801" t="str">
        <f t="shared" si="51"/>
        <v>Tue</v>
      </c>
    </row>
    <row r="802" spans="1:12" x14ac:dyDescent="0.25">
      <c r="A802" s="1">
        <v>45993</v>
      </c>
      <c r="B802" t="s">
        <v>16</v>
      </c>
      <c r="C802" t="s">
        <v>9</v>
      </c>
      <c r="D802" t="s">
        <v>17</v>
      </c>
      <c r="E802" t="s">
        <v>26</v>
      </c>
      <c r="F802">
        <v>10</v>
      </c>
      <c r="G802">
        <v>2143.71</v>
      </c>
      <c r="H802">
        <v>21437.1</v>
      </c>
      <c r="I802">
        <f t="shared" si="48"/>
        <v>12</v>
      </c>
      <c r="J802" t="str">
        <f t="shared" si="49"/>
        <v>Dec</v>
      </c>
      <c r="K802">
        <f t="shared" si="50"/>
        <v>3</v>
      </c>
      <c r="L802" t="str">
        <f t="shared" si="51"/>
        <v>Tue</v>
      </c>
    </row>
    <row r="803" spans="1:12" x14ac:dyDescent="0.25">
      <c r="A803" s="1">
        <v>45962</v>
      </c>
      <c r="B803" t="s">
        <v>25</v>
      </c>
      <c r="C803" t="s">
        <v>13</v>
      </c>
      <c r="D803" t="s">
        <v>19</v>
      </c>
      <c r="E803" t="s">
        <v>15</v>
      </c>
      <c r="F803">
        <v>1</v>
      </c>
      <c r="G803">
        <v>2791.33</v>
      </c>
      <c r="H803">
        <v>2791.33</v>
      </c>
      <c r="I803">
        <f t="shared" si="48"/>
        <v>11</v>
      </c>
      <c r="J803" t="str">
        <f t="shared" si="49"/>
        <v>Nov</v>
      </c>
      <c r="K803">
        <f t="shared" si="50"/>
        <v>7</v>
      </c>
      <c r="L803" t="str">
        <f t="shared" si="51"/>
        <v>Sat</v>
      </c>
    </row>
    <row r="804" spans="1:12" x14ac:dyDescent="0.25">
      <c r="A804" s="1">
        <v>45844</v>
      </c>
      <c r="B804" t="s">
        <v>16</v>
      </c>
      <c r="C804" t="s">
        <v>9</v>
      </c>
      <c r="D804" t="s">
        <v>19</v>
      </c>
      <c r="E804" t="s">
        <v>11</v>
      </c>
      <c r="F804">
        <v>4</v>
      </c>
      <c r="G804">
        <v>2578.5500000000002</v>
      </c>
      <c r="H804">
        <v>10314.200000000001</v>
      </c>
      <c r="I804">
        <f t="shared" si="48"/>
        <v>7</v>
      </c>
      <c r="J804" t="str">
        <f t="shared" si="49"/>
        <v>Jul</v>
      </c>
      <c r="K804">
        <f t="shared" si="50"/>
        <v>1</v>
      </c>
      <c r="L804" t="str">
        <f t="shared" si="51"/>
        <v>Sun</v>
      </c>
    </row>
    <row r="805" spans="1:12" x14ac:dyDescent="0.25">
      <c r="A805" s="1">
        <v>45834</v>
      </c>
      <c r="B805" t="s">
        <v>40</v>
      </c>
      <c r="C805" t="s">
        <v>9</v>
      </c>
      <c r="D805" t="s">
        <v>10</v>
      </c>
      <c r="E805" t="s">
        <v>22</v>
      </c>
      <c r="F805">
        <v>19</v>
      </c>
      <c r="G805">
        <v>4386.3999999999996</v>
      </c>
      <c r="H805">
        <v>83341.600000000006</v>
      </c>
      <c r="I805">
        <f t="shared" si="48"/>
        <v>6</v>
      </c>
      <c r="J805" t="str">
        <f t="shared" si="49"/>
        <v>Jun</v>
      </c>
      <c r="K805">
        <f t="shared" si="50"/>
        <v>5</v>
      </c>
      <c r="L805" t="str">
        <f t="shared" si="51"/>
        <v>Thu</v>
      </c>
    </row>
    <row r="806" spans="1:12" x14ac:dyDescent="0.25">
      <c r="A806" s="1">
        <v>45900</v>
      </c>
      <c r="B806" t="s">
        <v>40</v>
      </c>
      <c r="C806" t="s">
        <v>21</v>
      </c>
      <c r="D806" t="s">
        <v>19</v>
      </c>
      <c r="E806" t="s">
        <v>27</v>
      </c>
      <c r="F806">
        <v>16</v>
      </c>
      <c r="G806">
        <v>5175.0600000000004</v>
      </c>
      <c r="H806">
        <v>82800.960000000006</v>
      </c>
      <c r="I806">
        <f t="shared" si="48"/>
        <v>8</v>
      </c>
      <c r="J806" t="str">
        <f t="shared" si="49"/>
        <v>Aug</v>
      </c>
      <c r="K806">
        <f t="shared" si="50"/>
        <v>1</v>
      </c>
      <c r="L806" t="str">
        <f t="shared" si="51"/>
        <v>Sun</v>
      </c>
    </row>
    <row r="807" spans="1:12" x14ac:dyDescent="0.25">
      <c r="A807" s="1">
        <v>45907</v>
      </c>
      <c r="B807" t="s">
        <v>8</v>
      </c>
      <c r="C807" t="s">
        <v>9</v>
      </c>
      <c r="D807" t="s">
        <v>17</v>
      </c>
      <c r="E807" t="s">
        <v>26</v>
      </c>
      <c r="F807">
        <v>16</v>
      </c>
      <c r="G807">
        <v>1262.3699999999999</v>
      </c>
      <c r="H807">
        <v>20197.919999999998</v>
      </c>
      <c r="I807">
        <f t="shared" si="48"/>
        <v>9</v>
      </c>
      <c r="J807" t="str">
        <f t="shared" si="49"/>
        <v>Sep</v>
      </c>
      <c r="K807">
        <f t="shared" si="50"/>
        <v>1</v>
      </c>
      <c r="L807" t="str">
        <f t="shared" si="51"/>
        <v>Sun</v>
      </c>
    </row>
    <row r="808" spans="1:12" x14ac:dyDescent="0.25">
      <c r="A808" s="1">
        <v>45788</v>
      </c>
      <c r="B808" t="s">
        <v>25</v>
      </c>
      <c r="C808" t="s">
        <v>13</v>
      </c>
      <c r="D808" t="s">
        <v>14</v>
      </c>
      <c r="E808" t="s">
        <v>18</v>
      </c>
      <c r="F808">
        <v>12</v>
      </c>
      <c r="G808">
        <v>4190.17</v>
      </c>
      <c r="H808">
        <v>50282.04</v>
      </c>
      <c r="I808">
        <f t="shared" si="48"/>
        <v>5</v>
      </c>
      <c r="J808" t="str">
        <f t="shared" si="49"/>
        <v>May</v>
      </c>
      <c r="K808">
        <f t="shared" si="50"/>
        <v>1</v>
      </c>
      <c r="L808" t="str">
        <f t="shared" si="51"/>
        <v>Sun</v>
      </c>
    </row>
    <row r="809" spans="1:12" x14ac:dyDescent="0.25">
      <c r="A809" s="1">
        <v>45675</v>
      </c>
      <c r="B809" t="s">
        <v>12</v>
      </c>
      <c r="C809" t="s">
        <v>9</v>
      </c>
      <c r="D809" t="s">
        <v>10</v>
      </c>
      <c r="E809" t="s">
        <v>22</v>
      </c>
      <c r="F809">
        <v>1</v>
      </c>
      <c r="G809">
        <v>804.47</v>
      </c>
      <c r="H809">
        <v>804.47</v>
      </c>
      <c r="I809">
        <f t="shared" si="48"/>
        <v>1</v>
      </c>
      <c r="J809" t="str">
        <f t="shared" si="49"/>
        <v>Jan</v>
      </c>
      <c r="K809">
        <f t="shared" si="50"/>
        <v>7</v>
      </c>
      <c r="L809" t="str">
        <f t="shared" si="51"/>
        <v>Sat</v>
      </c>
    </row>
    <row r="810" spans="1:12" x14ac:dyDescent="0.25">
      <c r="A810" s="1">
        <v>46002</v>
      </c>
      <c r="B810" t="s">
        <v>20</v>
      </c>
      <c r="C810" t="s">
        <v>21</v>
      </c>
      <c r="D810" t="s">
        <v>17</v>
      </c>
      <c r="E810" t="s">
        <v>18</v>
      </c>
      <c r="F810">
        <v>8</v>
      </c>
      <c r="G810">
        <v>1771.52</v>
      </c>
      <c r="H810">
        <v>14172.16</v>
      </c>
      <c r="I810">
        <f t="shared" si="48"/>
        <v>12</v>
      </c>
      <c r="J810" t="str">
        <f t="shared" si="49"/>
        <v>Dec</v>
      </c>
      <c r="K810">
        <f t="shared" si="50"/>
        <v>5</v>
      </c>
      <c r="L810" t="str">
        <f t="shared" si="51"/>
        <v>Thu</v>
      </c>
    </row>
    <row r="811" spans="1:12" x14ac:dyDescent="0.25">
      <c r="A811" s="1">
        <v>45676</v>
      </c>
      <c r="B811" t="s">
        <v>24</v>
      </c>
      <c r="C811" t="s">
        <v>21</v>
      </c>
      <c r="D811" t="s">
        <v>10</v>
      </c>
      <c r="E811" t="s">
        <v>22</v>
      </c>
      <c r="F811">
        <v>10</v>
      </c>
      <c r="G811">
        <v>988.77</v>
      </c>
      <c r="H811">
        <v>9887.7000000000007</v>
      </c>
      <c r="I811">
        <f t="shared" si="48"/>
        <v>1</v>
      </c>
      <c r="J811" t="str">
        <f t="shared" si="49"/>
        <v>Jan</v>
      </c>
      <c r="K811">
        <f t="shared" si="50"/>
        <v>1</v>
      </c>
      <c r="L811" t="str">
        <f t="shared" si="51"/>
        <v>Sun</v>
      </c>
    </row>
    <row r="812" spans="1:12" x14ac:dyDescent="0.25">
      <c r="A812" s="1">
        <v>45885</v>
      </c>
      <c r="B812" t="s">
        <v>25</v>
      </c>
      <c r="C812" t="s">
        <v>21</v>
      </c>
      <c r="D812" t="s">
        <v>10</v>
      </c>
      <c r="E812" t="s">
        <v>22</v>
      </c>
      <c r="F812">
        <v>12</v>
      </c>
      <c r="G812">
        <v>4160.21</v>
      </c>
      <c r="H812">
        <v>49922.52</v>
      </c>
      <c r="I812">
        <f t="shared" si="48"/>
        <v>8</v>
      </c>
      <c r="J812" t="str">
        <f t="shared" si="49"/>
        <v>Aug</v>
      </c>
      <c r="K812">
        <f t="shared" si="50"/>
        <v>7</v>
      </c>
      <c r="L812" t="str">
        <f t="shared" si="51"/>
        <v>Sat</v>
      </c>
    </row>
    <row r="813" spans="1:12" x14ac:dyDescent="0.25">
      <c r="A813" s="1">
        <v>45817</v>
      </c>
      <c r="B813" t="s">
        <v>24</v>
      </c>
      <c r="C813" t="s">
        <v>13</v>
      </c>
      <c r="D813" t="s">
        <v>14</v>
      </c>
      <c r="E813" t="s">
        <v>18</v>
      </c>
      <c r="F813">
        <v>7</v>
      </c>
      <c r="G813">
        <v>928.57</v>
      </c>
      <c r="H813">
        <v>6499.99</v>
      </c>
      <c r="I813">
        <f t="shared" si="48"/>
        <v>6</v>
      </c>
      <c r="J813" t="str">
        <f t="shared" si="49"/>
        <v>Jun</v>
      </c>
      <c r="K813">
        <f t="shared" si="50"/>
        <v>2</v>
      </c>
      <c r="L813" t="str">
        <f t="shared" si="51"/>
        <v>Mon</v>
      </c>
    </row>
    <row r="814" spans="1:12" x14ac:dyDescent="0.25">
      <c r="A814" s="1">
        <v>45930</v>
      </c>
      <c r="B814" t="s">
        <v>23</v>
      </c>
      <c r="C814" t="s">
        <v>13</v>
      </c>
      <c r="D814" t="s">
        <v>10</v>
      </c>
      <c r="E814" t="s">
        <v>26</v>
      </c>
      <c r="F814">
        <v>12</v>
      </c>
      <c r="G814">
        <v>921.02</v>
      </c>
      <c r="H814">
        <v>11052.24</v>
      </c>
      <c r="I814">
        <f t="shared" si="48"/>
        <v>9</v>
      </c>
      <c r="J814" t="str">
        <f t="shared" si="49"/>
        <v>Sep</v>
      </c>
      <c r="K814">
        <f t="shared" si="50"/>
        <v>3</v>
      </c>
      <c r="L814" t="str">
        <f t="shared" si="51"/>
        <v>Tue</v>
      </c>
    </row>
    <row r="815" spans="1:12" x14ac:dyDescent="0.25">
      <c r="A815" s="1">
        <v>45842</v>
      </c>
      <c r="B815" t="s">
        <v>39</v>
      </c>
      <c r="C815" t="s">
        <v>13</v>
      </c>
      <c r="D815" t="s">
        <v>10</v>
      </c>
      <c r="E815" t="s">
        <v>26</v>
      </c>
      <c r="F815">
        <v>11</v>
      </c>
      <c r="G815">
        <v>17937.07</v>
      </c>
      <c r="H815">
        <v>197307.77</v>
      </c>
      <c r="I815">
        <f t="shared" si="48"/>
        <v>7</v>
      </c>
      <c r="J815" t="str">
        <f t="shared" si="49"/>
        <v>Jul</v>
      </c>
      <c r="K815">
        <f t="shared" si="50"/>
        <v>6</v>
      </c>
      <c r="L815" t="str">
        <f t="shared" si="51"/>
        <v>Fri</v>
      </c>
    </row>
    <row r="816" spans="1:12" x14ac:dyDescent="0.25">
      <c r="A816" s="1">
        <v>45866</v>
      </c>
      <c r="B816" t="s">
        <v>8</v>
      </c>
      <c r="C816" t="s">
        <v>9</v>
      </c>
      <c r="D816" t="s">
        <v>14</v>
      </c>
      <c r="E816" t="s">
        <v>15</v>
      </c>
      <c r="F816">
        <v>2</v>
      </c>
      <c r="G816">
        <v>1434.67</v>
      </c>
      <c r="H816">
        <v>2869.34</v>
      </c>
      <c r="I816">
        <f t="shared" si="48"/>
        <v>7</v>
      </c>
      <c r="J816" t="str">
        <f t="shared" si="49"/>
        <v>Jul</v>
      </c>
      <c r="K816">
        <f t="shared" si="50"/>
        <v>2</v>
      </c>
      <c r="L816" t="str">
        <f t="shared" si="51"/>
        <v>Mon</v>
      </c>
    </row>
    <row r="817" spans="1:12" x14ac:dyDescent="0.25">
      <c r="A817" s="1">
        <v>45790</v>
      </c>
      <c r="B817" t="s">
        <v>12</v>
      </c>
      <c r="C817" t="s">
        <v>9</v>
      </c>
      <c r="D817" t="s">
        <v>10</v>
      </c>
      <c r="E817" t="s">
        <v>22</v>
      </c>
      <c r="F817">
        <v>16</v>
      </c>
      <c r="G817">
        <v>1097.8</v>
      </c>
      <c r="H817">
        <v>17564.8</v>
      </c>
      <c r="I817">
        <f t="shared" si="48"/>
        <v>5</v>
      </c>
      <c r="J817" t="str">
        <f t="shared" si="49"/>
        <v>May</v>
      </c>
      <c r="K817">
        <f t="shared" si="50"/>
        <v>3</v>
      </c>
      <c r="L817" t="str">
        <f t="shared" si="51"/>
        <v>Tue</v>
      </c>
    </row>
    <row r="818" spans="1:12" x14ac:dyDescent="0.25">
      <c r="A818" s="1">
        <v>45823</v>
      </c>
      <c r="B818" t="s">
        <v>23</v>
      </c>
      <c r="C818" t="s">
        <v>13</v>
      </c>
      <c r="D818" t="s">
        <v>17</v>
      </c>
      <c r="E818" t="s">
        <v>22</v>
      </c>
      <c r="F818">
        <v>13</v>
      </c>
      <c r="G818">
        <v>953.41</v>
      </c>
      <c r="H818">
        <v>12394.33</v>
      </c>
      <c r="I818">
        <f t="shared" si="48"/>
        <v>6</v>
      </c>
      <c r="J818" t="str">
        <f t="shared" si="49"/>
        <v>Jun</v>
      </c>
      <c r="K818">
        <f t="shared" si="50"/>
        <v>1</v>
      </c>
      <c r="L818" t="str">
        <f t="shared" si="51"/>
        <v>Sun</v>
      </c>
    </row>
    <row r="819" spans="1:12" x14ac:dyDescent="0.25">
      <c r="A819" s="1">
        <v>45871</v>
      </c>
      <c r="B819" t="s">
        <v>24</v>
      </c>
      <c r="C819" t="s">
        <v>21</v>
      </c>
      <c r="D819" t="s">
        <v>17</v>
      </c>
      <c r="E819" t="s">
        <v>11</v>
      </c>
      <c r="F819">
        <v>10</v>
      </c>
      <c r="G819">
        <v>1025.8</v>
      </c>
      <c r="H819">
        <v>10258</v>
      </c>
      <c r="I819">
        <f t="shared" si="48"/>
        <v>8</v>
      </c>
      <c r="J819" t="str">
        <f t="shared" si="49"/>
        <v>Aug</v>
      </c>
      <c r="K819">
        <f t="shared" si="50"/>
        <v>7</v>
      </c>
      <c r="L819" t="str">
        <f t="shared" si="51"/>
        <v>Sat</v>
      </c>
    </row>
    <row r="820" spans="1:12" x14ac:dyDescent="0.25">
      <c r="A820" s="1">
        <v>45927</v>
      </c>
      <c r="B820" t="s">
        <v>20</v>
      </c>
      <c r="C820" t="s">
        <v>9</v>
      </c>
      <c r="D820" t="s">
        <v>10</v>
      </c>
      <c r="E820" t="s">
        <v>11</v>
      </c>
      <c r="F820">
        <v>19</v>
      </c>
      <c r="G820">
        <v>1718.06</v>
      </c>
      <c r="H820">
        <v>32643.14</v>
      </c>
      <c r="I820">
        <f t="shared" si="48"/>
        <v>9</v>
      </c>
      <c r="J820" t="str">
        <f t="shared" si="49"/>
        <v>Sep</v>
      </c>
      <c r="K820">
        <f t="shared" si="50"/>
        <v>7</v>
      </c>
      <c r="L820" t="str">
        <f t="shared" si="51"/>
        <v>Sat</v>
      </c>
    </row>
    <row r="821" spans="1:12" x14ac:dyDescent="0.25">
      <c r="A821" s="1">
        <v>45686</v>
      </c>
      <c r="B821" t="s">
        <v>23</v>
      </c>
      <c r="C821" t="s">
        <v>21</v>
      </c>
      <c r="D821" t="s">
        <v>19</v>
      </c>
      <c r="E821" t="s">
        <v>15</v>
      </c>
      <c r="F821">
        <v>19</v>
      </c>
      <c r="G821">
        <v>984.11</v>
      </c>
      <c r="H821">
        <v>18698.09</v>
      </c>
      <c r="I821">
        <f t="shared" si="48"/>
        <v>1</v>
      </c>
      <c r="J821" t="str">
        <f t="shared" si="49"/>
        <v>Jan</v>
      </c>
      <c r="K821">
        <f t="shared" si="50"/>
        <v>4</v>
      </c>
      <c r="L821" t="str">
        <f t="shared" si="51"/>
        <v>Wed</v>
      </c>
    </row>
    <row r="822" spans="1:12" x14ac:dyDescent="0.25">
      <c r="A822" s="1">
        <v>45665</v>
      </c>
      <c r="B822" t="s">
        <v>20</v>
      </c>
      <c r="C822" t="s">
        <v>21</v>
      </c>
      <c r="D822" t="s">
        <v>19</v>
      </c>
      <c r="E822" t="s">
        <v>27</v>
      </c>
      <c r="F822">
        <v>19</v>
      </c>
      <c r="G822">
        <v>1105.8399999999999</v>
      </c>
      <c r="H822">
        <v>21010.959999999999</v>
      </c>
      <c r="I822">
        <f t="shared" si="48"/>
        <v>1</v>
      </c>
      <c r="J822" t="str">
        <f t="shared" si="49"/>
        <v>Jan</v>
      </c>
      <c r="K822">
        <f t="shared" si="50"/>
        <v>4</v>
      </c>
      <c r="L822" t="str">
        <f t="shared" si="51"/>
        <v>Wed</v>
      </c>
    </row>
    <row r="823" spans="1:12" x14ac:dyDescent="0.25">
      <c r="A823" s="1">
        <v>45702</v>
      </c>
      <c r="B823" t="s">
        <v>41</v>
      </c>
      <c r="C823" t="s">
        <v>13</v>
      </c>
      <c r="D823" t="s">
        <v>19</v>
      </c>
      <c r="E823" t="s">
        <v>15</v>
      </c>
      <c r="F823">
        <v>3</v>
      </c>
      <c r="G823">
        <v>736.09</v>
      </c>
      <c r="H823">
        <v>2208.27</v>
      </c>
      <c r="I823">
        <f t="shared" si="48"/>
        <v>2</v>
      </c>
      <c r="J823" t="str">
        <f t="shared" si="49"/>
        <v>Feb</v>
      </c>
      <c r="K823">
        <f t="shared" si="50"/>
        <v>6</v>
      </c>
      <c r="L823" t="str">
        <f t="shared" si="51"/>
        <v>Fri</v>
      </c>
    </row>
    <row r="824" spans="1:12" x14ac:dyDescent="0.25">
      <c r="A824" s="1">
        <v>45972</v>
      </c>
      <c r="B824" t="s">
        <v>24</v>
      </c>
      <c r="C824" t="s">
        <v>9</v>
      </c>
      <c r="D824" t="s">
        <v>10</v>
      </c>
      <c r="E824" t="s">
        <v>26</v>
      </c>
      <c r="F824">
        <v>9</v>
      </c>
      <c r="G824">
        <v>1241.6600000000001</v>
      </c>
      <c r="H824">
        <v>11174.94</v>
      </c>
      <c r="I824">
        <f t="shared" si="48"/>
        <v>11</v>
      </c>
      <c r="J824" t="str">
        <f t="shared" si="49"/>
        <v>Nov</v>
      </c>
      <c r="K824">
        <f t="shared" si="50"/>
        <v>3</v>
      </c>
      <c r="L824" t="str">
        <f t="shared" si="51"/>
        <v>Tue</v>
      </c>
    </row>
    <row r="825" spans="1:12" x14ac:dyDescent="0.25">
      <c r="A825" s="1">
        <v>45769</v>
      </c>
      <c r="B825" t="s">
        <v>24</v>
      </c>
      <c r="C825" t="s">
        <v>9</v>
      </c>
      <c r="D825" t="s">
        <v>14</v>
      </c>
      <c r="E825" t="s">
        <v>11</v>
      </c>
      <c r="F825">
        <v>16</v>
      </c>
      <c r="G825">
        <v>1205.3</v>
      </c>
      <c r="H825">
        <v>19284.8</v>
      </c>
      <c r="I825">
        <f t="shared" si="48"/>
        <v>4</v>
      </c>
      <c r="J825" t="str">
        <f t="shared" si="49"/>
        <v>Apr</v>
      </c>
      <c r="K825">
        <f t="shared" si="50"/>
        <v>3</v>
      </c>
      <c r="L825" t="str">
        <f t="shared" si="51"/>
        <v>Tue</v>
      </c>
    </row>
    <row r="826" spans="1:12" x14ac:dyDescent="0.25">
      <c r="A826" s="1">
        <v>45962</v>
      </c>
      <c r="B826" t="s">
        <v>40</v>
      </c>
      <c r="C826" t="s">
        <v>9</v>
      </c>
      <c r="D826" t="s">
        <v>19</v>
      </c>
      <c r="E826" t="s">
        <v>26</v>
      </c>
      <c r="F826">
        <v>14</v>
      </c>
      <c r="G826">
        <v>5055.6899999999996</v>
      </c>
      <c r="H826">
        <v>70779.66</v>
      </c>
      <c r="I826">
        <f t="shared" si="48"/>
        <v>11</v>
      </c>
      <c r="J826" t="str">
        <f t="shared" si="49"/>
        <v>Nov</v>
      </c>
      <c r="K826">
        <f t="shared" si="50"/>
        <v>7</v>
      </c>
      <c r="L826" t="str">
        <f t="shared" si="51"/>
        <v>Sat</v>
      </c>
    </row>
    <row r="827" spans="1:12" x14ac:dyDescent="0.25">
      <c r="A827" s="1">
        <v>45935</v>
      </c>
      <c r="B827" t="s">
        <v>25</v>
      </c>
      <c r="C827" t="s">
        <v>13</v>
      </c>
      <c r="D827" t="s">
        <v>17</v>
      </c>
      <c r="E827" t="s">
        <v>11</v>
      </c>
      <c r="F827">
        <v>18</v>
      </c>
      <c r="G827">
        <v>4398.91</v>
      </c>
      <c r="H827">
        <v>79180.38</v>
      </c>
      <c r="I827">
        <f t="shared" si="48"/>
        <v>10</v>
      </c>
      <c r="J827" t="str">
        <f t="shared" si="49"/>
        <v>Oct</v>
      </c>
      <c r="K827">
        <f t="shared" si="50"/>
        <v>1</v>
      </c>
      <c r="L827" t="str">
        <f t="shared" si="51"/>
        <v>Sun</v>
      </c>
    </row>
    <row r="828" spans="1:12" x14ac:dyDescent="0.25">
      <c r="A828" s="1">
        <v>45700</v>
      </c>
      <c r="B828" t="s">
        <v>16</v>
      </c>
      <c r="C828" t="s">
        <v>13</v>
      </c>
      <c r="D828" t="s">
        <v>19</v>
      </c>
      <c r="E828" t="s">
        <v>15</v>
      </c>
      <c r="F828">
        <v>19</v>
      </c>
      <c r="G828">
        <v>2246.7199999999998</v>
      </c>
      <c r="H828">
        <v>42687.68</v>
      </c>
      <c r="I828">
        <f t="shared" si="48"/>
        <v>2</v>
      </c>
      <c r="J828" t="str">
        <f t="shared" si="49"/>
        <v>Feb</v>
      </c>
      <c r="K828">
        <f t="shared" si="50"/>
        <v>4</v>
      </c>
      <c r="L828" t="str">
        <f t="shared" si="51"/>
        <v>Wed</v>
      </c>
    </row>
    <row r="829" spans="1:12" x14ac:dyDescent="0.25">
      <c r="A829" s="1">
        <v>45816</v>
      </c>
      <c r="B829" t="s">
        <v>40</v>
      </c>
      <c r="C829" t="s">
        <v>9</v>
      </c>
      <c r="D829" t="s">
        <v>19</v>
      </c>
      <c r="E829" t="s">
        <v>15</v>
      </c>
      <c r="F829">
        <v>2</v>
      </c>
      <c r="G829">
        <v>3624.28</v>
      </c>
      <c r="H829">
        <v>7248.56</v>
      </c>
      <c r="I829">
        <f t="shared" si="48"/>
        <v>6</v>
      </c>
      <c r="J829" t="str">
        <f t="shared" si="49"/>
        <v>Jun</v>
      </c>
      <c r="K829">
        <f t="shared" si="50"/>
        <v>1</v>
      </c>
      <c r="L829" t="str">
        <f t="shared" si="51"/>
        <v>Sun</v>
      </c>
    </row>
    <row r="830" spans="1:12" x14ac:dyDescent="0.25">
      <c r="A830" s="1">
        <v>45663</v>
      </c>
      <c r="B830" t="s">
        <v>41</v>
      </c>
      <c r="C830" t="s">
        <v>13</v>
      </c>
      <c r="D830" t="s">
        <v>14</v>
      </c>
      <c r="E830" t="s">
        <v>15</v>
      </c>
      <c r="F830">
        <v>13</v>
      </c>
      <c r="G830">
        <v>481.02</v>
      </c>
      <c r="H830">
        <v>6253.26</v>
      </c>
      <c r="I830">
        <f t="shared" si="48"/>
        <v>1</v>
      </c>
      <c r="J830" t="str">
        <f t="shared" si="49"/>
        <v>Jan</v>
      </c>
      <c r="K830">
        <f t="shared" si="50"/>
        <v>2</v>
      </c>
      <c r="L830" t="str">
        <f t="shared" si="51"/>
        <v>Mon</v>
      </c>
    </row>
    <row r="831" spans="1:12" x14ac:dyDescent="0.25">
      <c r="A831" s="1">
        <v>45804</v>
      </c>
      <c r="B831" t="s">
        <v>25</v>
      </c>
      <c r="C831" t="s">
        <v>21</v>
      </c>
      <c r="D831" t="s">
        <v>10</v>
      </c>
      <c r="E831" t="s">
        <v>26</v>
      </c>
      <c r="F831">
        <v>2</v>
      </c>
      <c r="G831">
        <v>3684.16</v>
      </c>
      <c r="H831">
        <v>7368.32</v>
      </c>
      <c r="I831">
        <f t="shared" si="48"/>
        <v>5</v>
      </c>
      <c r="J831" t="str">
        <f t="shared" si="49"/>
        <v>May</v>
      </c>
      <c r="K831">
        <f t="shared" si="50"/>
        <v>3</v>
      </c>
      <c r="L831" t="str">
        <f t="shared" si="51"/>
        <v>Tue</v>
      </c>
    </row>
    <row r="832" spans="1:12" x14ac:dyDescent="0.25">
      <c r="A832" s="1">
        <v>45957</v>
      </c>
      <c r="B832" t="s">
        <v>16</v>
      </c>
      <c r="C832" t="s">
        <v>13</v>
      </c>
      <c r="D832" t="s">
        <v>10</v>
      </c>
      <c r="E832" t="s">
        <v>18</v>
      </c>
      <c r="F832">
        <v>15</v>
      </c>
      <c r="G832">
        <v>2405.58</v>
      </c>
      <c r="H832">
        <v>36083.699999999997</v>
      </c>
      <c r="I832">
        <f t="shared" si="48"/>
        <v>10</v>
      </c>
      <c r="J832" t="str">
        <f t="shared" si="49"/>
        <v>Oct</v>
      </c>
      <c r="K832">
        <f t="shared" si="50"/>
        <v>2</v>
      </c>
      <c r="L832" t="str">
        <f t="shared" si="51"/>
        <v>Mon</v>
      </c>
    </row>
    <row r="833" spans="1:12" x14ac:dyDescent="0.25">
      <c r="A833" s="1">
        <v>45767</v>
      </c>
      <c r="B833" t="s">
        <v>40</v>
      </c>
      <c r="C833" t="s">
        <v>13</v>
      </c>
      <c r="D833" t="s">
        <v>10</v>
      </c>
      <c r="E833" t="s">
        <v>11</v>
      </c>
      <c r="F833">
        <v>3</v>
      </c>
      <c r="G833">
        <v>4474.7700000000004</v>
      </c>
      <c r="H833">
        <v>13424.31</v>
      </c>
      <c r="I833">
        <f t="shared" si="48"/>
        <v>4</v>
      </c>
      <c r="J833" t="str">
        <f t="shared" si="49"/>
        <v>Apr</v>
      </c>
      <c r="K833">
        <f t="shared" si="50"/>
        <v>1</v>
      </c>
      <c r="L833" t="str">
        <f t="shared" si="51"/>
        <v>Sun</v>
      </c>
    </row>
    <row r="834" spans="1:12" x14ac:dyDescent="0.25">
      <c r="A834" s="1">
        <v>45683</v>
      </c>
      <c r="B834" t="s">
        <v>25</v>
      </c>
      <c r="C834" t="s">
        <v>9</v>
      </c>
      <c r="D834" t="s">
        <v>19</v>
      </c>
      <c r="E834" t="s">
        <v>15</v>
      </c>
      <c r="F834">
        <v>1</v>
      </c>
      <c r="G834">
        <v>3310.31</v>
      </c>
      <c r="H834">
        <v>3310.31</v>
      </c>
      <c r="I834">
        <f t="shared" ref="I834:I897" si="52">MONTH(A834)</f>
        <v>1</v>
      </c>
      <c r="J834" t="str">
        <f t="shared" ref="J834:J897" si="53">TEXT(A834,"MMM")</f>
        <v>Jan</v>
      </c>
      <c r="K834">
        <f t="shared" ref="K834:K897" si="54">WEEKDAY(A834,1)</f>
        <v>1</v>
      </c>
      <c r="L834" t="str">
        <f t="shared" ref="L834:L897" si="55">TEXT(K834,"DDD")</f>
        <v>Sun</v>
      </c>
    </row>
    <row r="835" spans="1:12" x14ac:dyDescent="0.25">
      <c r="A835" s="1">
        <v>45870</v>
      </c>
      <c r="B835" t="s">
        <v>20</v>
      </c>
      <c r="C835" t="s">
        <v>21</v>
      </c>
      <c r="D835" t="s">
        <v>10</v>
      </c>
      <c r="E835" t="s">
        <v>26</v>
      </c>
      <c r="F835">
        <v>12</v>
      </c>
      <c r="G835">
        <v>1707.78</v>
      </c>
      <c r="H835">
        <v>20493.36</v>
      </c>
      <c r="I835">
        <f t="shared" si="52"/>
        <v>8</v>
      </c>
      <c r="J835" t="str">
        <f t="shared" si="53"/>
        <v>Aug</v>
      </c>
      <c r="K835">
        <f t="shared" si="54"/>
        <v>6</v>
      </c>
      <c r="L835" t="str">
        <f t="shared" si="55"/>
        <v>Fri</v>
      </c>
    </row>
    <row r="836" spans="1:12" x14ac:dyDescent="0.25">
      <c r="A836" s="1">
        <v>46004</v>
      </c>
      <c r="B836" t="s">
        <v>39</v>
      </c>
      <c r="C836" t="s">
        <v>13</v>
      </c>
      <c r="D836" t="s">
        <v>19</v>
      </c>
      <c r="E836" t="s">
        <v>11</v>
      </c>
      <c r="F836">
        <v>17</v>
      </c>
      <c r="G836">
        <v>19114.77</v>
      </c>
      <c r="H836">
        <v>324951.09000000003</v>
      </c>
      <c r="I836">
        <f t="shared" si="52"/>
        <v>12</v>
      </c>
      <c r="J836" t="str">
        <f t="shared" si="53"/>
        <v>Dec</v>
      </c>
      <c r="K836">
        <f t="shared" si="54"/>
        <v>7</v>
      </c>
      <c r="L836" t="str">
        <f t="shared" si="55"/>
        <v>Sat</v>
      </c>
    </row>
    <row r="837" spans="1:12" x14ac:dyDescent="0.25">
      <c r="A837" s="1">
        <v>45755</v>
      </c>
      <c r="B837" t="s">
        <v>16</v>
      </c>
      <c r="C837" t="s">
        <v>13</v>
      </c>
      <c r="D837" t="s">
        <v>10</v>
      </c>
      <c r="E837" t="s">
        <v>22</v>
      </c>
      <c r="F837">
        <v>16</v>
      </c>
      <c r="G837">
        <v>2699.2</v>
      </c>
      <c r="H837">
        <v>43187.199999999997</v>
      </c>
      <c r="I837">
        <f t="shared" si="52"/>
        <v>4</v>
      </c>
      <c r="J837" t="str">
        <f t="shared" si="53"/>
        <v>Apr</v>
      </c>
      <c r="K837">
        <f t="shared" si="54"/>
        <v>3</v>
      </c>
      <c r="L837" t="str">
        <f t="shared" si="55"/>
        <v>Tue</v>
      </c>
    </row>
    <row r="838" spans="1:12" x14ac:dyDescent="0.25">
      <c r="A838" s="1">
        <v>45829</v>
      </c>
      <c r="B838" t="s">
        <v>41</v>
      </c>
      <c r="C838" t="s">
        <v>13</v>
      </c>
      <c r="D838" t="s">
        <v>10</v>
      </c>
      <c r="E838" t="s">
        <v>22</v>
      </c>
      <c r="F838">
        <v>8</v>
      </c>
      <c r="G838">
        <v>465.93</v>
      </c>
      <c r="H838">
        <v>3727.44</v>
      </c>
      <c r="I838">
        <f t="shared" si="52"/>
        <v>6</v>
      </c>
      <c r="J838" t="str">
        <f t="shared" si="53"/>
        <v>Jun</v>
      </c>
      <c r="K838">
        <f t="shared" si="54"/>
        <v>7</v>
      </c>
      <c r="L838" t="str">
        <f t="shared" si="55"/>
        <v>Sat</v>
      </c>
    </row>
    <row r="839" spans="1:12" x14ac:dyDescent="0.25">
      <c r="A839" s="1">
        <v>45721</v>
      </c>
      <c r="B839" t="s">
        <v>25</v>
      </c>
      <c r="C839" t="s">
        <v>13</v>
      </c>
      <c r="D839" t="s">
        <v>10</v>
      </c>
      <c r="E839" t="s">
        <v>11</v>
      </c>
      <c r="F839">
        <v>11</v>
      </c>
      <c r="G839">
        <v>3328.62</v>
      </c>
      <c r="H839">
        <v>36614.82</v>
      </c>
      <c r="I839">
        <f t="shared" si="52"/>
        <v>3</v>
      </c>
      <c r="J839" t="str">
        <f t="shared" si="53"/>
        <v>Mar</v>
      </c>
      <c r="K839">
        <f t="shared" si="54"/>
        <v>4</v>
      </c>
      <c r="L839" t="str">
        <f t="shared" si="55"/>
        <v>Wed</v>
      </c>
    </row>
    <row r="840" spans="1:12" x14ac:dyDescent="0.25">
      <c r="A840" s="1">
        <v>45814</v>
      </c>
      <c r="B840" t="s">
        <v>16</v>
      </c>
      <c r="C840" t="s">
        <v>13</v>
      </c>
      <c r="D840" t="s">
        <v>10</v>
      </c>
      <c r="E840" t="s">
        <v>22</v>
      </c>
      <c r="F840">
        <v>7</v>
      </c>
      <c r="G840">
        <v>2580.21</v>
      </c>
      <c r="H840">
        <v>18061.47</v>
      </c>
      <c r="I840">
        <f t="shared" si="52"/>
        <v>6</v>
      </c>
      <c r="J840" t="str">
        <f t="shared" si="53"/>
        <v>Jun</v>
      </c>
      <c r="K840">
        <f t="shared" si="54"/>
        <v>6</v>
      </c>
      <c r="L840" t="str">
        <f t="shared" si="55"/>
        <v>Fri</v>
      </c>
    </row>
    <row r="841" spans="1:12" x14ac:dyDescent="0.25">
      <c r="A841" s="1">
        <v>45957</v>
      </c>
      <c r="B841" t="s">
        <v>16</v>
      </c>
      <c r="C841" t="s">
        <v>13</v>
      </c>
      <c r="D841" t="s">
        <v>10</v>
      </c>
      <c r="E841" t="s">
        <v>11</v>
      </c>
      <c r="F841">
        <v>10</v>
      </c>
      <c r="G841">
        <v>2459.54</v>
      </c>
      <c r="H841">
        <v>24595.4</v>
      </c>
      <c r="I841">
        <f t="shared" si="52"/>
        <v>10</v>
      </c>
      <c r="J841" t="str">
        <f t="shared" si="53"/>
        <v>Oct</v>
      </c>
      <c r="K841">
        <f t="shared" si="54"/>
        <v>2</v>
      </c>
      <c r="L841" t="str">
        <f t="shared" si="55"/>
        <v>Mon</v>
      </c>
    </row>
    <row r="842" spans="1:12" x14ac:dyDescent="0.25">
      <c r="A842" s="1">
        <v>45996</v>
      </c>
      <c r="B842" t="s">
        <v>25</v>
      </c>
      <c r="C842" t="s">
        <v>13</v>
      </c>
      <c r="D842" t="s">
        <v>17</v>
      </c>
      <c r="E842" t="s">
        <v>15</v>
      </c>
      <c r="F842">
        <v>13</v>
      </c>
      <c r="G842">
        <v>3316.05</v>
      </c>
      <c r="H842">
        <v>43108.65</v>
      </c>
      <c r="I842">
        <f t="shared" si="52"/>
        <v>12</v>
      </c>
      <c r="J842" t="str">
        <f t="shared" si="53"/>
        <v>Dec</v>
      </c>
      <c r="K842">
        <f t="shared" si="54"/>
        <v>6</v>
      </c>
      <c r="L842" t="str">
        <f t="shared" si="55"/>
        <v>Fri</v>
      </c>
    </row>
    <row r="843" spans="1:12" x14ac:dyDescent="0.25">
      <c r="A843" s="1">
        <v>45678</v>
      </c>
      <c r="B843" t="s">
        <v>12</v>
      </c>
      <c r="C843" t="s">
        <v>9</v>
      </c>
      <c r="D843" t="s">
        <v>17</v>
      </c>
      <c r="E843" t="s">
        <v>22</v>
      </c>
      <c r="F843">
        <v>5</v>
      </c>
      <c r="G843">
        <v>1122.46</v>
      </c>
      <c r="H843">
        <v>5612.3</v>
      </c>
      <c r="I843">
        <f t="shared" si="52"/>
        <v>1</v>
      </c>
      <c r="J843" t="str">
        <f t="shared" si="53"/>
        <v>Jan</v>
      </c>
      <c r="K843">
        <f t="shared" si="54"/>
        <v>3</v>
      </c>
      <c r="L843" t="str">
        <f t="shared" si="55"/>
        <v>Tue</v>
      </c>
    </row>
    <row r="844" spans="1:12" x14ac:dyDescent="0.25">
      <c r="A844" s="1">
        <v>45748</v>
      </c>
      <c r="B844" t="s">
        <v>39</v>
      </c>
      <c r="C844" t="s">
        <v>9</v>
      </c>
      <c r="D844" t="s">
        <v>14</v>
      </c>
      <c r="E844" t="s">
        <v>18</v>
      </c>
      <c r="F844">
        <v>18</v>
      </c>
      <c r="G844">
        <v>14239.63</v>
      </c>
      <c r="H844">
        <v>256313.34</v>
      </c>
      <c r="I844">
        <f t="shared" si="52"/>
        <v>4</v>
      </c>
      <c r="J844" t="str">
        <f t="shared" si="53"/>
        <v>Apr</v>
      </c>
      <c r="K844">
        <f t="shared" si="54"/>
        <v>3</v>
      </c>
      <c r="L844" t="str">
        <f t="shared" si="55"/>
        <v>Tue</v>
      </c>
    </row>
    <row r="845" spans="1:12" x14ac:dyDescent="0.25">
      <c r="A845" s="1">
        <v>45987</v>
      </c>
      <c r="B845" t="s">
        <v>40</v>
      </c>
      <c r="C845" t="s">
        <v>9</v>
      </c>
      <c r="D845" t="s">
        <v>14</v>
      </c>
      <c r="E845" t="s">
        <v>15</v>
      </c>
      <c r="F845">
        <v>11</v>
      </c>
      <c r="G845">
        <v>5254.48</v>
      </c>
      <c r="H845">
        <v>57799.28</v>
      </c>
      <c r="I845">
        <f t="shared" si="52"/>
        <v>11</v>
      </c>
      <c r="J845" t="str">
        <f t="shared" si="53"/>
        <v>Nov</v>
      </c>
      <c r="K845">
        <f t="shared" si="54"/>
        <v>4</v>
      </c>
      <c r="L845" t="str">
        <f t="shared" si="55"/>
        <v>Wed</v>
      </c>
    </row>
    <row r="846" spans="1:12" x14ac:dyDescent="0.25">
      <c r="A846" s="1">
        <v>45824</v>
      </c>
      <c r="B846" t="s">
        <v>23</v>
      </c>
      <c r="C846" t="s">
        <v>13</v>
      </c>
      <c r="D846" t="s">
        <v>17</v>
      </c>
      <c r="E846" t="s">
        <v>11</v>
      </c>
      <c r="F846">
        <v>1</v>
      </c>
      <c r="G846">
        <v>603.88</v>
      </c>
      <c r="H846">
        <v>603.88</v>
      </c>
      <c r="I846">
        <f t="shared" si="52"/>
        <v>6</v>
      </c>
      <c r="J846" t="str">
        <f t="shared" si="53"/>
        <v>Jun</v>
      </c>
      <c r="K846">
        <f t="shared" si="54"/>
        <v>2</v>
      </c>
      <c r="L846" t="str">
        <f t="shared" si="55"/>
        <v>Mon</v>
      </c>
    </row>
    <row r="847" spans="1:12" x14ac:dyDescent="0.25">
      <c r="A847" s="1">
        <v>45802</v>
      </c>
      <c r="B847" t="s">
        <v>39</v>
      </c>
      <c r="C847" t="s">
        <v>9</v>
      </c>
      <c r="D847" t="s">
        <v>19</v>
      </c>
      <c r="E847" t="s">
        <v>15</v>
      </c>
      <c r="F847">
        <v>3</v>
      </c>
      <c r="G847">
        <v>18569.169999999998</v>
      </c>
      <c r="H847">
        <v>55707.51</v>
      </c>
      <c r="I847">
        <f t="shared" si="52"/>
        <v>5</v>
      </c>
      <c r="J847" t="str">
        <f t="shared" si="53"/>
        <v>May</v>
      </c>
      <c r="K847">
        <f t="shared" si="54"/>
        <v>1</v>
      </c>
      <c r="L847" t="str">
        <f t="shared" si="55"/>
        <v>Sun</v>
      </c>
    </row>
    <row r="848" spans="1:12" x14ac:dyDescent="0.25">
      <c r="A848" s="1">
        <v>45809</v>
      </c>
      <c r="B848" t="s">
        <v>39</v>
      </c>
      <c r="C848" t="s">
        <v>21</v>
      </c>
      <c r="D848" t="s">
        <v>10</v>
      </c>
      <c r="E848" t="s">
        <v>26</v>
      </c>
      <c r="F848">
        <v>16</v>
      </c>
      <c r="G848">
        <v>15872.51</v>
      </c>
      <c r="H848">
        <v>253960.16</v>
      </c>
      <c r="I848">
        <f t="shared" si="52"/>
        <v>6</v>
      </c>
      <c r="J848" t="str">
        <f t="shared" si="53"/>
        <v>Jun</v>
      </c>
      <c r="K848">
        <f t="shared" si="54"/>
        <v>1</v>
      </c>
      <c r="L848" t="str">
        <f t="shared" si="55"/>
        <v>Sun</v>
      </c>
    </row>
    <row r="849" spans="1:12" x14ac:dyDescent="0.25">
      <c r="A849" s="1">
        <v>45867</v>
      </c>
      <c r="B849" t="s">
        <v>40</v>
      </c>
      <c r="C849" t="s">
        <v>21</v>
      </c>
      <c r="D849" t="s">
        <v>10</v>
      </c>
      <c r="E849" t="s">
        <v>22</v>
      </c>
      <c r="F849">
        <v>1</v>
      </c>
      <c r="G849">
        <v>4482.26</v>
      </c>
      <c r="H849">
        <v>4482.26</v>
      </c>
      <c r="I849">
        <f t="shared" si="52"/>
        <v>7</v>
      </c>
      <c r="J849" t="str">
        <f t="shared" si="53"/>
        <v>Jul</v>
      </c>
      <c r="K849">
        <f t="shared" si="54"/>
        <v>3</v>
      </c>
      <c r="L849" t="str">
        <f t="shared" si="55"/>
        <v>Tue</v>
      </c>
    </row>
    <row r="850" spans="1:12" x14ac:dyDescent="0.25">
      <c r="A850" s="1">
        <v>45992</v>
      </c>
      <c r="B850" t="s">
        <v>41</v>
      </c>
      <c r="C850" t="s">
        <v>13</v>
      </c>
      <c r="D850" t="s">
        <v>14</v>
      </c>
      <c r="E850" t="s">
        <v>26</v>
      </c>
      <c r="F850">
        <v>13</v>
      </c>
      <c r="G850">
        <v>631.67999999999995</v>
      </c>
      <c r="H850">
        <v>8211.84</v>
      </c>
      <c r="I850">
        <f t="shared" si="52"/>
        <v>12</v>
      </c>
      <c r="J850" t="str">
        <f t="shared" si="53"/>
        <v>Dec</v>
      </c>
      <c r="K850">
        <f t="shared" si="54"/>
        <v>2</v>
      </c>
      <c r="L850" t="str">
        <f t="shared" si="55"/>
        <v>Mon</v>
      </c>
    </row>
    <row r="851" spans="1:12" x14ac:dyDescent="0.25">
      <c r="A851" s="1">
        <v>45778</v>
      </c>
      <c r="B851" t="s">
        <v>25</v>
      </c>
      <c r="C851" t="s">
        <v>9</v>
      </c>
      <c r="D851" t="s">
        <v>19</v>
      </c>
      <c r="E851" t="s">
        <v>11</v>
      </c>
      <c r="F851">
        <v>7</v>
      </c>
      <c r="G851">
        <v>3968.45</v>
      </c>
      <c r="H851">
        <v>27779.15</v>
      </c>
      <c r="I851">
        <f t="shared" si="52"/>
        <v>5</v>
      </c>
      <c r="J851" t="str">
        <f t="shared" si="53"/>
        <v>May</v>
      </c>
      <c r="K851">
        <f t="shared" si="54"/>
        <v>5</v>
      </c>
      <c r="L851" t="str">
        <f t="shared" si="55"/>
        <v>Thu</v>
      </c>
    </row>
    <row r="852" spans="1:12" x14ac:dyDescent="0.25">
      <c r="A852" s="1">
        <v>45667</v>
      </c>
      <c r="B852" t="s">
        <v>40</v>
      </c>
      <c r="C852" t="s">
        <v>21</v>
      </c>
      <c r="D852" t="s">
        <v>19</v>
      </c>
      <c r="E852" t="s">
        <v>27</v>
      </c>
      <c r="F852">
        <v>9</v>
      </c>
      <c r="G852">
        <v>5314.52</v>
      </c>
      <c r="H852">
        <v>47830.68</v>
      </c>
      <c r="I852">
        <f t="shared" si="52"/>
        <v>1</v>
      </c>
      <c r="J852" t="str">
        <f t="shared" si="53"/>
        <v>Jan</v>
      </c>
      <c r="K852">
        <f t="shared" si="54"/>
        <v>6</v>
      </c>
      <c r="L852" t="str">
        <f t="shared" si="55"/>
        <v>Fri</v>
      </c>
    </row>
    <row r="853" spans="1:12" x14ac:dyDescent="0.25">
      <c r="A853" s="1">
        <v>45661</v>
      </c>
      <c r="B853" t="s">
        <v>41</v>
      </c>
      <c r="C853" t="s">
        <v>9</v>
      </c>
      <c r="D853" t="s">
        <v>17</v>
      </c>
      <c r="E853" t="s">
        <v>22</v>
      </c>
      <c r="F853">
        <v>4</v>
      </c>
      <c r="G853">
        <v>515.76</v>
      </c>
      <c r="H853">
        <v>2063.04</v>
      </c>
      <c r="I853">
        <f t="shared" si="52"/>
        <v>1</v>
      </c>
      <c r="J853" t="str">
        <f t="shared" si="53"/>
        <v>Jan</v>
      </c>
      <c r="K853">
        <f t="shared" si="54"/>
        <v>7</v>
      </c>
      <c r="L853" t="str">
        <f t="shared" si="55"/>
        <v>Sat</v>
      </c>
    </row>
    <row r="854" spans="1:12" x14ac:dyDescent="0.25">
      <c r="A854" s="1">
        <v>45799</v>
      </c>
      <c r="B854" t="s">
        <v>23</v>
      </c>
      <c r="C854" t="s">
        <v>9</v>
      </c>
      <c r="D854" t="s">
        <v>19</v>
      </c>
      <c r="E854" t="s">
        <v>15</v>
      </c>
      <c r="F854">
        <v>5</v>
      </c>
      <c r="G854">
        <v>831</v>
      </c>
      <c r="H854">
        <v>4155</v>
      </c>
      <c r="I854">
        <f t="shared" si="52"/>
        <v>5</v>
      </c>
      <c r="J854" t="str">
        <f t="shared" si="53"/>
        <v>May</v>
      </c>
      <c r="K854">
        <f t="shared" si="54"/>
        <v>5</v>
      </c>
      <c r="L854" t="str">
        <f t="shared" si="55"/>
        <v>Thu</v>
      </c>
    </row>
    <row r="855" spans="1:12" x14ac:dyDescent="0.25">
      <c r="A855" s="1">
        <v>45802</v>
      </c>
      <c r="B855" t="s">
        <v>16</v>
      </c>
      <c r="C855" t="s">
        <v>9</v>
      </c>
      <c r="D855" t="s">
        <v>17</v>
      </c>
      <c r="E855" t="s">
        <v>18</v>
      </c>
      <c r="F855">
        <v>10</v>
      </c>
      <c r="G855">
        <v>2853.88</v>
      </c>
      <c r="H855">
        <v>28538.799999999999</v>
      </c>
      <c r="I855">
        <f t="shared" si="52"/>
        <v>5</v>
      </c>
      <c r="J855" t="str">
        <f t="shared" si="53"/>
        <v>May</v>
      </c>
      <c r="K855">
        <f t="shared" si="54"/>
        <v>1</v>
      </c>
      <c r="L855" t="str">
        <f t="shared" si="55"/>
        <v>Sun</v>
      </c>
    </row>
    <row r="856" spans="1:12" x14ac:dyDescent="0.25">
      <c r="A856" s="1">
        <v>45845</v>
      </c>
      <c r="B856" t="s">
        <v>40</v>
      </c>
      <c r="C856" t="s">
        <v>13</v>
      </c>
      <c r="D856" t="s">
        <v>19</v>
      </c>
      <c r="E856" t="s">
        <v>15</v>
      </c>
      <c r="F856">
        <v>11</v>
      </c>
      <c r="G856">
        <v>4161.95</v>
      </c>
      <c r="H856">
        <v>45781.45</v>
      </c>
      <c r="I856">
        <f t="shared" si="52"/>
        <v>7</v>
      </c>
      <c r="J856" t="str">
        <f t="shared" si="53"/>
        <v>Jul</v>
      </c>
      <c r="K856">
        <f t="shared" si="54"/>
        <v>2</v>
      </c>
      <c r="L856" t="str">
        <f t="shared" si="55"/>
        <v>Mon</v>
      </c>
    </row>
    <row r="857" spans="1:12" x14ac:dyDescent="0.25">
      <c r="A857" s="1">
        <v>45954</v>
      </c>
      <c r="B857" t="s">
        <v>8</v>
      </c>
      <c r="C857" t="s">
        <v>9</v>
      </c>
      <c r="D857" t="s">
        <v>19</v>
      </c>
      <c r="E857" t="s">
        <v>15</v>
      </c>
      <c r="F857">
        <v>10</v>
      </c>
      <c r="G857">
        <v>1496.44</v>
      </c>
      <c r="H857">
        <v>14964.4</v>
      </c>
      <c r="I857">
        <f t="shared" si="52"/>
        <v>10</v>
      </c>
      <c r="J857" t="str">
        <f t="shared" si="53"/>
        <v>Oct</v>
      </c>
      <c r="K857">
        <f t="shared" si="54"/>
        <v>6</v>
      </c>
      <c r="L857" t="str">
        <f t="shared" si="55"/>
        <v>Fri</v>
      </c>
    </row>
    <row r="858" spans="1:12" x14ac:dyDescent="0.25">
      <c r="A858" s="1">
        <v>45729</v>
      </c>
      <c r="B858" t="s">
        <v>8</v>
      </c>
      <c r="C858" t="s">
        <v>13</v>
      </c>
      <c r="D858" t="s">
        <v>14</v>
      </c>
      <c r="E858" t="s">
        <v>18</v>
      </c>
      <c r="F858">
        <v>7</v>
      </c>
      <c r="G858">
        <v>1543.12</v>
      </c>
      <c r="H858">
        <v>10801.84</v>
      </c>
      <c r="I858">
        <f t="shared" si="52"/>
        <v>3</v>
      </c>
      <c r="J858" t="str">
        <f t="shared" si="53"/>
        <v>Mar</v>
      </c>
      <c r="K858">
        <f t="shared" si="54"/>
        <v>5</v>
      </c>
      <c r="L858" t="str">
        <f t="shared" si="55"/>
        <v>Thu</v>
      </c>
    </row>
    <row r="859" spans="1:12" x14ac:dyDescent="0.25">
      <c r="A859" s="1">
        <v>45997</v>
      </c>
      <c r="B859" t="s">
        <v>20</v>
      </c>
      <c r="C859" t="s">
        <v>9</v>
      </c>
      <c r="D859" t="s">
        <v>14</v>
      </c>
      <c r="E859" t="s">
        <v>26</v>
      </c>
      <c r="F859">
        <v>19</v>
      </c>
      <c r="G859">
        <v>1847.66</v>
      </c>
      <c r="H859">
        <v>35105.54</v>
      </c>
      <c r="I859">
        <f t="shared" si="52"/>
        <v>12</v>
      </c>
      <c r="J859" t="str">
        <f t="shared" si="53"/>
        <v>Dec</v>
      </c>
      <c r="K859">
        <f t="shared" si="54"/>
        <v>7</v>
      </c>
      <c r="L859" t="str">
        <f t="shared" si="55"/>
        <v>Sat</v>
      </c>
    </row>
    <row r="860" spans="1:12" x14ac:dyDescent="0.25">
      <c r="A860" s="1">
        <v>45879</v>
      </c>
      <c r="B860" t="s">
        <v>40</v>
      </c>
      <c r="C860" t="s">
        <v>13</v>
      </c>
      <c r="D860" t="s">
        <v>14</v>
      </c>
      <c r="E860" t="s">
        <v>18</v>
      </c>
      <c r="F860">
        <v>12</v>
      </c>
      <c r="G860">
        <v>3663.4</v>
      </c>
      <c r="H860">
        <v>43960.800000000003</v>
      </c>
      <c r="I860">
        <f t="shared" si="52"/>
        <v>8</v>
      </c>
      <c r="J860" t="str">
        <f t="shared" si="53"/>
        <v>Aug</v>
      </c>
      <c r="K860">
        <f t="shared" si="54"/>
        <v>1</v>
      </c>
      <c r="L860" t="str">
        <f t="shared" si="55"/>
        <v>Sun</v>
      </c>
    </row>
    <row r="861" spans="1:12" x14ac:dyDescent="0.25">
      <c r="A861" s="1">
        <v>45786</v>
      </c>
      <c r="B861" t="s">
        <v>40</v>
      </c>
      <c r="C861" t="s">
        <v>9</v>
      </c>
      <c r="D861" t="s">
        <v>14</v>
      </c>
      <c r="E861" t="s">
        <v>18</v>
      </c>
      <c r="F861">
        <v>10</v>
      </c>
      <c r="G861">
        <v>5678.33</v>
      </c>
      <c r="H861">
        <v>56783.3</v>
      </c>
      <c r="I861">
        <f t="shared" si="52"/>
        <v>5</v>
      </c>
      <c r="J861" t="str">
        <f t="shared" si="53"/>
        <v>May</v>
      </c>
      <c r="K861">
        <f t="shared" si="54"/>
        <v>6</v>
      </c>
      <c r="L861" t="str">
        <f t="shared" si="55"/>
        <v>Fri</v>
      </c>
    </row>
    <row r="862" spans="1:12" x14ac:dyDescent="0.25">
      <c r="A862" s="1">
        <v>45851</v>
      </c>
      <c r="B862" t="s">
        <v>12</v>
      </c>
      <c r="C862" t="s">
        <v>13</v>
      </c>
      <c r="D862" t="s">
        <v>14</v>
      </c>
      <c r="E862" t="s">
        <v>11</v>
      </c>
      <c r="F862">
        <v>5</v>
      </c>
      <c r="G862">
        <v>755.4</v>
      </c>
      <c r="H862">
        <v>3777</v>
      </c>
      <c r="I862">
        <f t="shared" si="52"/>
        <v>7</v>
      </c>
      <c r="J862" t="str">
        <f t="shared" si="53"/>
        <v>Jul</v>
      </c>
      <c r="K862">
        <f t="shared" si="54"/>
        <v>1</v>
      </c>
      <c r="L862" t="str">
        <f t="shared" si="55"/>
        <v>Sun</v>
      </c>
    </row>
    <row r="863" spans="1:12" x14ac:dyDescent="0.25">
      <c r="A863" s="1">
        <v>45971</v>
      </c>
      <c r="B863" t="s">
        <v>23</v>
      </c>
      <c r="C863" t="s">
        <v>21</v>
      </c>
      <c r="D863" t="s">
        <v>10</v>
      </c>
      <c r="E863" t="s">
        <v>22</v>
      </c>
      <c r="F863">
        <v>4</v>
      </c>
      <c r="G863">
        <v>941.63</v>
      </c>
      <c r="H863">
        <v>3766.52</v>
      </c>
      <c r="I863">
        <f t="shared" si="52"/>
        <v>11</v>
      </c>
      <c r="J863" t="str">
        <f t="shared" si="53"/>
        <v>Nov</v>
      </c>
      <c r="K863">
        <f t="shared" si="54"/>
        <v>2</v>
      </c>
      <c r="L863" t="str">
        <f t="shared" si="55"/>
        <v>Mon</v>
      </c>
    </row>
    <row r="864" spans="1:12" x14ac:dyDescent="0.25">
      <c r="A864" s="1">
        <v>45692</v>
      </c>
      <c r="B864" t="s">
        <v>20</v>
      </c>
      <c r="C864" t="s">
        <v>21</v>
      </c>
      <c r="D864" t="s">
        <v>17</v>
      </c>
      <c r="E864" t="s">
        <v>11</v>
      </c>
      <c r="F864">
        <v>6</v>
      </c>
      <c r="G864">
        <v>1627.41</v>
      </c>
      <c r="H864">
        <v>9764.4599999999991</v>
      </c>
      <c r="I864">
        <f t="shared" si="52"/>
        <v>2</v>
      </c>
      <c r="J864" t="str">
        <f t="shared" si="53"/>
        <v>Feb</v>
      </c>
      <c r="K864">
        <f t="shared" si="54"/>
        <v>3</v>
      </c>
      <c r="L864" t="str">
        <f t="shared" si="55"/>
        <v>Tue</v>
      </c>
    </row>
    <row r="865" spans="1:12" x14ac:dyDescent="0.25">
      <c r="A865" s="1">
        <v>45687</v>
      </c>
      <c r="B865" t="s">
        <v>23</v>
      </c>
      <c r="C865" t="s">
        <v>9</v>
      </c>
      <c r="D865" t="s">
        <v>17</v>
      </c>
      <c r="E865" t="s">
        <v>11</v>
      </c>
      <c r="F865">
        <v>8</v>
      </c>
      <c r="G865">
        <v>599.54999999999995</v>
      </c>
      <c r="H865">
        <v>4796.3999999999996</v>
      </c>
      <c r="I865">
        <f t="shared" si="52"/>
        <v>1</v>
      </c>
      <c r="J865" t="str">
        <f t="shared" si="53"/>
        <v>Jan</v>
      </c>
      <c r="K865">
        <f t="shared" si="54"/>
        <v>5</v>
      </c>
      <c r="L865" t="str">
        <f t="shared" si="55"/>
        <v>Thu</v>
      </c>
    </row>
    <row r="866" spans="1:12" x14ac:dyDescent="0.25">
      <c r="A866" s="1">
        <v>45736</v>
      </c>
      <c r="B866" t="s">
        <v>8</v>
      </c>
      <c r="C866" t="s">
        <v>13</v>
      </c>
      <c r="D866" t="s">
        <v>14</v>
      </c>
      <c r="E866" t="s">
        <v>18</v>
      </c>
      <c r="F866">
        <v>13</v>
      </c>
      <c r="G866">
        <v>1458.26</v>
      </c>
      <c r="H866">
        <v>18957.38</v>
      </c>
      <c r="I866">
        <f t="shared" si="52"/>
        <v>3</v>
      </c>
      <c r="J866" t="str">
        <f t="shared" si="53"/>
        <v>Mar</v>
      </c>
      <c r="K866">
        <f t="shared" si="54"/>
        <v>5</v>
      </c>
      <c r="L866" t="str">
        <f t="shared" si="55"/>
        <v>Thu</v>
      </c>
    </row>
    <row r="867" spans="1:12" x14ac:dyDescent="0.25">
      <c r="A867" s="1">
        <v>45811</v>
      </c>
      <c r="B867" t="s">
        <v>12</v>
      </c>
      <c r="C867" t="s">
        <v>21</v>
      </c>
      <c r="D867" t="s">
        <v>19</v>
      </c>
      <c r="E867" t="s">
        <v>15</v>
      </c>
      <c r="F867">
        <v>6</v>
      </c>
      <c r="G867">
        <v>1002.77</v>
      </c>
      <c r="H867">
        <v>6016.62</v>
      </c>
      <c r="I867">
        <f t="shared" si="52"/>
        <v>6</v>
      </c>
      <c r="J867" t="str">
        <f t="shared" si="53"/>
        <v>Jun</v>
      </c>
      <c r="K867">
        <f t="shared" si="54"/>
        <v>3</v>
      </c>
      <c r="L867" t="str">
        <f t="shared" si="55"/>
        <v>Tue</v>
      </c>
    </row>
    <row r="868" spans="1:12" x14ac:dyDescent="0.25">
      <c r="A868" s="1">
        <v>45871</v>
      </c>
      <c r="B868" t="s">
        <v>25</v>
      </c>
      <c r="C868" t="s">
        <v>9</v>
      </c>
      <c r="D868" t="s">
        <v>14</v>
      </c>
      <c r="E868" t="s">
        <v>18</v>
      </c>
      <c r="F868">
        <v>17</v>
      </c>
      <c r="G868">
        <v>3855.65</v>
      </c>
      <c r="H868">
        <v>65546.05</v>
      </c>
      <c r="I868">
        <f t="shared" si="52"/>
        <v>8</v>
      </c>
      <c r="J868" t="str">
        <f t="shared" si="53"/>
        <v>Aug</v>
      </c>
      <c r="K868">
        <f t="shared" si="54"/>
        <v>7</v>
      </c>
      <c r="L868" t="str">
        <f t="shared" si="55"/>
        <v>Sat</v>
      </c>
    </row>
    <row r="869" spans="1:12" x14ac:dyDescent="0.25">
      <c r="A869" s="1">
        <v>45987</v>
      </c>
      <c r="B869" t="s">
        <v>12</v>
      </c>
      <c r="C869" t="s">
        <v>13</v>
      </c>
      <c r="D869" t="s">
        <v>10</v>
      </c>
      <c r="E869" t="s">
        <v>26</v>
      </c>
      <c r="F869">
        <v>3</v>
      </c>
      <c r="G869">
        <v>725.65</v>
      </c>
      <c r="H869">
        <v>2176.9499999999998</v>
      </c>
      <c r="I869">
        <f t="shared" si="52"/>
        <v>11</v>
      </c>
      <c r="J869" t="str">
        <f t="shared" si="53"/>
        <v>Nov</v>
      </c>
      <c r="K869">
        <f t="shared" si="54"/>
        <v>4</v>
      </c>
      <c r="L869" t="str">
        <f t="shared" si="55"/>
        <v>Wed</v>
      </c>
    </row>
    <row r="870" spans="1:12" x14ac:dyDescent="0.25">
      <c r="A870" s="1">
        <v>45845</v>
      </c>
      <c r="B870" t="s">
        <v>23</v>
      </c>
      <c r="C870" t="s">
        <v>21</v>
      </c>
      <c r="D870" t="s">
        <v>19</v>
      </c>
      <c r="E870" t="s">
        <v>15</v>
      </c>
      <c r="F870">
        <v>7</v>
      </c>
      <c r="G870">
        <v>920.88</v>
      </c>
      <c r="H870">
        <v>6446.16</v>
      </c>
      <c r="I870">
        <f t="shared" si="52"/>
        <v>7</v>
      </c>
      <c r="J870" t="str">
        <f t="shared" si="53"/>
        <v>Jul</v>
      </c>
      <c r="K870">
        <f t="shared" si="54"/>
        <v>2</v>
      </c>
      <c r="L870" t="str">
        <f t="shared" si="55"/>
        <v>Mon</v>
      </c>
    </row>
    <row r="871" spans="1:12" x14ac:dyDescent="0.25">
      <c r="A871" s="1">
        <v>45984</v>
      </c>
      <c r="B871" t="s">
        <v>23</v>
      </c>
      <c r="C871" t="s">
        <v>21</v>
      </c>
      <c r="D871" t="s">
        <v>10</v>
      </c>
      <c r="E871" t="s">
        <v>22</v>
      </c>
      <c r="F871">
        <v>13</v>
      </c>
      <c r="G871">
        <v>898.42</v>
      </c>
      <c r="H871">
        <v>11679.46</v>
      </c>
      <c r="I871">
        <f t="shared" si="52"/>
        <v>11</v>
      </c>
      <c r="J871" t="str">
        <f t="shared" si="53"/>
        <v>Nov</v>
      </c>
      <c r="K871">
        <f t="shared" si="54"/>
        <v>1</v>
      </c>
      <c r="L871" t="str">
        <f t="shared" si="55"/>
        <v>Sun</v>
      </c>
    </row>
    <row r="872" spans="1:12" x14ac:dyDescent="0.25">
      <c r="A872" s="1">
        <v>45847</v>
      </c>
      <c r="B872" t="s">
        <v>41</v>
      </c>
      <c r="C872" t="s">
        <v>21</v>
      </c>
      <c r="D872" t="s">
        <v>19</v>
      </c>
      <c r="E872" t="s">
        <v>11</v>
      </c>
      <c r="F872">
        <v>3</v>
      </c>
      <c r="G872">
        <v>480.79</v>
      </c>
      <c r="H872">
        <v>1442.37</v>
      </c>
      <c r="I872">
        <f t="shared" si="52"/>
        <v>7</v>
      </c>
      <c r="J872" t="str">
        <f t="shared" si="53"/>
        <v>Jul</v>
      </c>
      <c r="K872">
        <f t="shared" si="54"/>
        <v>4</v>
      </c>
      <c r="L872" t="str">
        <f t="shared" si="55"/>
        <v>Wed</v>
      </c>
    </row>
    <row r="873" spans="1:12" x14ac:dyDescent="0.25">
      <c r="A873" s="1">
        <v>45760</v>
      </c>
      <c r="B873" t="s">
        <v>20</v>
      </c>
      <c r="C873" t="s">
        <v>13</v>
      </c>
      <c r="D873" t="s">
        <v>17</v>
      </c>
      <c r="E873" t="s">
        <v>11</v>
      </c>
      <c r="F873">
        <v>16</v>
      </c>
      <c r="G873">
        <v>1814.19</v>
      </c>
      <c r="H873">
        <v>29027.040000000001</v>
      </c>
      <c r="I873">
        <f t="shared" si="52"/>
        <v>4</v>
      </c>
      <c r="J873" t="str">
        <f t="shared" si="53"/>
        <v>Apr</v>
      </c>
      <c r="K873">
        <f t="shared" si="54"/>
        <v>1</v>
      </c>
      <c r="L873" t="str">
        <f t="shared" si="55"/>
        <v>Sun</v>
      </c>
    </row>
    <row r="874" spans="1:12" x14ac:dyDescent="0.25">
      <c r="A874" s="1">
        <v>45828</v>
      </c>
      <c r="B874" t="s">
        <v>20</v>
      </c>
      <c r="C874" t="s">
        <v>9</v>
      </c>
      <c r="D874" t="s">
        <v>10</v>
      </c>
      <c r="E874" t="s">
        <v>11</v>
      </c>
      <c r="F874">
        <v>10</v>
      </c>
      <c r="G874">
        <v>1544.02</v>
      </c>
      <c r="H874">
        <v>15440.2</v>
      </c>
      <c r="I874">
        <f t="shared" si="52"/>
        <v>6</v>
      </c>
      <c r="J874" t="str">
        <f t="shared" si="53"/>
        <v>Jun</v>
      </c>
      <c r="K874">
        <f t="shared" si="54"/>
        <v>6</v>
      </c>
      <c r="L874" t="str">
        <f t="shared" si="55"/>
        <v>Fri</v>
      </c>
    </row>
    <row r="875" spans="1:12" x14ac:dyDescent="0.25">
      <c r="A875" s="1">
        <v>45834</v>
      </c>
      <c r="B875" t="s">
        <v>8</v>
      </c>
      <c r="C875" t="s">
        <v>9</v>
      </c>
      <c r="D875" t="s">
        <v>17</v>
      </c>
      <c r="E875" t="s">
        <v>11</v>
      </c>
      <c r="F875">
        <v>17</v>
      </c>
      <c r="G875">
        <v>1171.8499999999999</v>
      </c>
      <c r="H875">
        <v>19921.45</v>
      </c>
      <c r="I875">
        <f t="shared" si="52"/>
        <v>6</v>
      </c>
      <c r="J875" t="str">
        <f t="shared" si="53"/>
        <v>Jun</v>
      </c>
      <c r="K875">
        <f t="shared" si="54"/>
        <v>5</v>
      </c>
      <c r="L875" t="str">
        <f t="shared" si="55"/>
        <v>Thu</v>
      </c>
    </row>
    <row r="876" spans="1:12" x14ac:dyDescent="0.25">
      <c r="A876" s="1">
        <v>45705</v>
      </c>
      <c r="B876" t="s">
        <v>23</v>
      </c>
      <c r="C876" t="s">
        <v>13</v>
      </c>
      <c r="D876" t="s">
        <v>14</v>
      </c>
      <c r="E876" t="s">
        <v>11</v>
      </c>
      <c r="F876">
        <v>14</v>
      </c>
      <c r="G876">
        <v>882.09</v>
      </c>
      <c r="H876">
        <v>12349.26</v>
      </c>
      <c r="I876">
        <f t="shared" si="52"/>
        <v>2</v>
      </c>
      <c r="J876" t="str">
        <f t="shared" si="53"/>
        <v>Feb</v>
      </c>
      <c r="K876">
        <f t="shared" si="54"/>
        <v>2</v>
      </c>
      <c r="L876" t="str">
        <f t="shared" si="55"/>
        <v>Mon</v>
      </c>
    </row>
    <row r="877" spans="1:12" x14ac:dyDescent="0.25">
      <c r="A877" s="1">
        <v>45909</v>
      </c>
      <c r="B877" t="s">
        <v>39</v>
      </c>
      <c r="C877" t="s">
        <v>13</v>
      </c>
      <c r="D877" t="s">
        <v>14</v>
      </c>
      <c r="E877" t="s">
        <v>26</v>
      </c>
      <c r="F877">
        <v>14</v>
      </c>
      <c r="G877">
        <v>13434.97</v>
      </c>
      <c r="H877">
        <v>188089.58</v>
      </c>
      <c r="I877">
        <f t="shared" si="52"/>
        <v>9</v>
      </c>
      <c r="J877" t="str">
        <f t="shared" si="53"/>
        <v>Sep</v>
      </c>
      <c r="K877">
        <f t="shared" si="54"/>
        <v>3</v>
      </c>
      <c r="L877" t="str">
        <f t="shared" si="55"/>
        <v>Tue</v>
      </c>
    </row>
    <row r="878" spans="1:12" x14ac:dyDescent="0.25">
      <c r="A878" s="1">
        <v>45735</v>
      </c>
      <c r="B878" t="s">
        <v>25</v>
      </c>
      <c r="C878" t="s">
        <v>13</v>
      </c>
      <c r="D878" t="s">
        <v>10</v>
      </c>
      <c r="E878" t="s">
        <v>26</v>
      </c>
      <c r="F878">
        <v>4</v>
      </c>
      <c r="G878">
        <v>2939.45</v>
      </c>
      <c r="H878">
        <v>11757.8</v>
      </c>
      <c r="I878">
        <f t="shared" si="52"/>
        <v>3</v>
      </c>
      <c r="J878" t="str">
        <f t="shared" si="53"/>
        <v>Mar</v>
      </c>
      <c r="K878">
        <f t="shared" si="54"/>
        <v>4</v>
      </c>
      <c r="L878" t="str">
        <f t="shared" si="55"/>
        <v>Wed</v>
      </c>
    </row>
    <row r="879" spans="1:12" x14ac:dyDescent="0.25">
      <c r="A879" s="1">
        <v>45735</v>
      </c>
      <c r="B879" t="s">
        <v>23</v>
      </c>
      <c r="C879" t="s">
        <v>21</v>
      </c>
      <c r="D879" t="s">
        <v>10</v>
      </c>
      <c r="E879" t="s">
        <v>22</v>
      </c>
      <c r="F879">
        <v>9</v>
      </c>
      <c r="G879">
        <v>623.5</v>
      </c>
      <c r="H879">
        <v>5611.5</v>
      </c>
      <c r="I879">
        <f t="shared" si="52"/>
        <v>3</v>
      </c>
      <c r="J879" t="str">
        <f t="shared" si="53"/>
        <v>Mar</v>
      </c>
      <c r="K879">
        <f t="shared" si="54"/>
        <v>4</v>
      </c>
      <c r="L879" t="str">
        <f t="shared" si="55"/>
        <v>Wed</v>
      </c>
    </row>
    <row r="880" spans="1:12" x14ac:dyDescent="0.25">
      <c r="A880" s="1">
        <v>46008</v>
      </c>
      <c r="B880" t="s">
        <v>8</v>
      </c>
      <c r="C880" t="s">
        <v>9</v>
      </c>
      <c r="D880" t="s">
        <v>17</v>
      </c>
      <c r="E880" t="s">
        <v>22</v>
      </c>
      <c r="F880">
        <v>2</v>
      </c>
      <c r="G880">
        <v>1105.78</v>
      </c>
      <c r="H880">
        <v>2211.56</v>
      </c>
      <c r="I880">
        <f t="shared" si="52"/>
        <v>12</v>
      </c>
      <c r="J880" t="str">
        <f t="shared" si="53"/>
        <v>Dec</v>
      </c>
      <c r="K880">
        <f t="shared" si="54"/>
        <v>4</v>
      </c>
      <c r="L880" t="str">
        <f t="shared" si="55"/>
        <v>Wed</v>
      </c>
    </row>
    <row r="881" spans="1:12" x14ac:dyDescent="0.25">
      <c r="A881" s="1">
        <v>45892</v>
      </c>
      <c r="B881" t="s">
        <v>40</v>
      </c>
      <c r="C881" t="s">
        <v>9</v>
      </c>
      <c r="D881" t="s">
        <v>14</v>
      </c>
      <c r="E881" t="s">
        <v>26</v>
      </c>
      <c r="F881">
        <v>7</v>
      </c>
      <c r="G881">
        <v>6139.74</v>
      </c>
      <c r="H881">
        <v>42978.18</v>
      </c>
      <c r="I881">
        <f t="shared" si="52"/>
        <v>8</v>
      </c>
      <c r="J881" t="str">
        <f t="shared" si="53"/>
        <v>Aug</v>
      </c>
      <c r="K881">
        <f t="shared" si="54"/>
        <v>7</v>
      </c>
      <c r="L881" t="str">
        <f t="shared" si="55"/>
        <v>Sat</v>
      </c>
    </row>
    <row r="882" spans="1:12" x14ac:dyDescent="0.25">
      <c r="A882" s="1">
        <v>45848</v>
      </c>
      <c r="B882" t="s">
        <v>40</v>
      </c>
      <c r="C882" t="s">
        <v>21</v>
      </c>
      <c r="D882" t="s">
        <v>14</v>
      </c>
      <c r="E882" t="s">
        <v>11</v>
      </c>
      <c r="F882">
        <v>2</v>
      </c>
      <c r="G882">
        <v>3720.09</v>
      </c>
      <c r="H882">
        <v>7440.18</v>
      </c>
      <c r="I882">
        <f t="shared" si="52"/>
        <v>7</v>
      </c>
      <c r="J882" t="str">
        <f t="shared" si="53"/>
        <v>Jul</v>
      </c>
      <c r="K882">
        <f t="shared" si="54"/>
        <v>5</v>
      </c>
      <c r="L882" t="str">
        <f t="shared" si="55"/>
        <v>Thu</v>
      </c>
    </row>
    <row r="883" spans="1:12" x14ac:dyDescent="0.25">
      <c r="A883" s="1">
        <v>45745</v>
      </c>
      <c r="B883" t="s">
        <v>41</v>
      </c>
      <c r="C883" t="s">
        <v>21</v>
      </c>
      <c r="D883" t="s">
        <v>17</v>
      </c>
      <c r="E883" t="s">
        <v>18</v>
      </c>
      <c r="F883">
        <v>3</v>
      </c>
      <c r="G883">
        <v>742.22</v>
      </c>
      <c r="H883">
        <v>2226.66</v>
      </c>
      <c r="I883">
        <f t="shared" si="52"/>
        <v>3</v>
      </c>
      <c r="J883" t="str">
        <f t="shared" si="53"/>
        <v>Mar</v>
      </c>
      <c r="K883">
        <f t="shared" si="54"/>
        <v>7</v>
      </c>
      <c r="L883" t="str">
        <f t="shared" si="55"/>
        <v>Sat</v>
      </c>
    </row>
    <row r="884" spans="1:12" x14ac:dyDescent="0.25">
      <c r="A884" s="1">
        <v>45962</v>
      </c>
      <c r="B884" t="s">
        <v>12</v>
      </c>
      <c r="C884" t="s">
        <v>9</v>
      </c>
      <c r="D884" t="s">
        <v>10</v>
      </c>
      <c r="E884" t="s">
        <v>22</v>
      </c>
      <c r="F884">
        <v>16</v>
      </c>
      <c r="G884">
        <v>768.59</v>
      </c>
      <c r="H884">
        <v>12297.44</v>
      </c>
      <c r="I884">
        <f t="shared" si="52"/>
        <v>11</v>
      </c>
      <c r="J884" t="str">
        <f t="shared" si="53"/>
        <v>Nov</v>
      </c>
      <c r="K884">
        <f t="shared" si="54"/>
        <v>7</v>
      </c>
      <c r="L884" t="str">
        <f t="shared" si="55"/>
        <v>Sat</v>
      </c>
    </row>
    <row r="885" spans="1:12" x14ac:dyDescent="0.25">
      <c r="A885" s="1">
        <v>45786</v>
      </c>
      <c r="B885" t="s">
        <v>8</v>
      </c>
      <c r="C885" t="s">
        <v>9</v>
      </c>
      <c r="D885" t="s">
        <v>10</v>
      </c>
      <c r="E885" t="s">
        <v>26</v>
      </c>
      <c r="F885">
        <v>6</v>
      </c>
      <c r="G885">
        <v>1064.33</v>
      </c>
      <c r="H885">
        <v>6385.98</v>
      </c>
      <c r="I885">
        <f t="shared" si="52"/>
        <v>5</v>
      </c>
      <c r="J885" t="str">
        <f t="shared" si="53"/>
        <v>May</v>
      </c>
      <c r="K885">
        <f t="shared" si="54"/>
        <v>6</v>
      </c>
      <c r="L885" t="str">
        <f t="shared" si="55"/>
        <v>Fri</v>
      </c>
    </row>
    <row r="886" spans="1:12" x14ac:dyDescent="0.25">
      <c r="A886" s="1">
        <v>45981</v>
      </c>
      <c r="B886" t="s">
        <v>24</v>
      </c>
      <c r="C886" t="s">
        <v>13</v>
      </c>
      <c r="D886" t="s">
        <v>17</v>
      </c>
      <c r="E886" t="s">
        <v>15</v>
      </c>
      <c r="F886">
        <v>8</v>
      </c>
      <c r="G886">
        <v>987.22</v>
      </c>
      <c r="H886">
        <v>7897.76</v>
      </c>
      <c r="I886">
        <f t="shared" si="52"/>
        <v>11</v>
      </c>
      <c r="J886" t="str">
        <f t="shared" si="53"/>
        <v>Nov</v>
      </c>
      <c r="K886">
        <f t="shared" si="54"/>
        <v>5</v>
      </c>
      <c r="L886" t="str">
        <f t="shared" si="55"/>
        <v>Thu</v>
      </c>
    </row>
    <row r="887" spans="1:12" x14ac:dyDescent="0.25">
      <c r="A887" s="1">
        <v>45841</v>
      </c>
      <c r="B887" t="s">
        <v>16</v>
      </c>
      <c r="C887" t="s">
        <v>9</v>
      </c>
      <c r="D887" t="s">
        <v>10</v>
      </c>
      <c r="E887" t="s">
        <v>18</v>
      </c>
      <c r="F887">
        <v>2</v>
      </c>
      <c r="G887">
        <v>2001.72</v>
      </c>
      <c r="H887">
        <v>4003.44</v>
      </c>
      <c r="I887">
        <f t="shared" si="52"/>
        <v>7</v>
      </c>
      <c r="J887" t="str">
        <f t="shared" si="53"/>
        <v>Jul</v>
      </c>
      <c r="K887">
        <f t="shared" si="54"/>
        <v>5</v>
      </c>
      <c r="L887" t="str">
        <f t="shared" si="55"/>
        <v>Thu</v>
      </c>
    </row>
    <row r="888" spans="1:12" x14ac:dyDescent="0.25">
      <c r="A888" s="1">
        <v>45907</v>
      </c>
      <c r="B888" t="s">
        <v>39</v>
      </c>
      <c r="C888" t="s">
        <v>21</v>
      </c>
      <c r="D888" t="s">
        <v>10</v>
      </c>
      <c r="E888" t="s">
        <v>22</v>
      </c>
      <c r="F888">
        <v>1</v>
      </c>
      <c r="G888">
        <v>16850.060000000001</v>
      </c>
      <c r="H888">
        <v>16850.060000000001</v>
      </c>
      <c r="I888">
        <f t="shared" si="52"/>
        <v>9</v>
      </c>
      <c r="J888" t="str">
        <f t="shared" si="53"/>
        <v>Sep</v>
      </c>
      <c r="K888">
        <f t="shared" si="54"/>
        <v>1</v>
      </c>
      <c r="L888" t="str">
        <f t="shared" si="55"/>
        <v>Sun</v>
      </c>
    </row>
    <row r="889" spans="1:12" x14ac:dyDescent="0.25">
      <c r="A889" s="1">
        <v>45788</v>
      </c>
      <c r="B889" t="s">
        <v>8</v>
      </c>
      <c r="C889" t="s">
        <v>9</v>
      </c>
      <c r="D889" t="s">
        <v>14</v>
      </c>
      <c r="E889" t="s">
        <v>11</v>
      </c>
      <c r="F889">
        <v>11</v>
      </c>
      <c r="G889">
        <v>1375.7</v>
      </c>
      <c r="H889">
        <v>15132.7</v>
      </c>
      <c r="I889">
        <f t="shared" si="52"/>
        <v>5</v>
      </c>
      <c r="J889" t="str">
        <f t="shared" si="53"/>
        <v>May</v>
      </c>
      <c r="K889">
        <f t="shared" si="54"/>
        <v>1</v>
      </c>
      <c r="L889" t="str">
        <f t="shared" si="55"/>
        <v>Sun</v>
      </c>
    </row>
    <row r="890" spans="1:12" x14ac:dyDescent="0.25">
      <c r="A890" s="1">
        <v>45817</v>
      </c>
      <c r="B890" t="s">
        <v>12</v>
      </c>
      <c r="C890" t="s">
        <v>9</v>
      </c>
      <c r="D890" t="s">
        <v>10</v>
      </c>
      <c r="E890" t="s">
        <v>18</v>
      </c>
      <c r="F890">
        <v>6</v>
      </c>
      <c r="G890">
        <v>688.34</v>
      </c>
      <c r="H890">
        <v>4130.04</v>
      </c>
      <c r="I890">
        <f t="shared" si="52"/>
        <v>6</v>
      </c>
      <c r="J890" t="str">
        <f t="shared" si="53"/>
        <v>Jun</v>
      </c>
      <c r="K890">
        <f t="shared" si="54"/>
        <v>2</v>
      </c>
      <c r="L890" t="str">
        <f t="shared" si="55"/>
        <v>Mon</v>
      </c>
    </row>
    <row r="891" spans="1:12" x14ac:dyDescent="0.25">
      <c r="A891" s="1">
        <v>45946</v>
      </c>
      <c r="B891" t="s">
        <v>20</v>
      </c>
      <c r="C891" t="s">
        <v>21</v>
      </c>
      <c r="D891" t="s">
        <v>14</v>
      </c>
      <c r="E891" t="s">
        <v>18</v>
      </c>
      <c r="F891">
        <v>13</v>
      </c>
      <c r="G891">
        <v>1123.05</v>
      </c>
      <c r="H891">
        <v>14599.65</v>
      </c>
      <c r="I891">
        <f t="shared" si="52"/>
        <v>10</v>
      </c>
      <c r="J891" t="str">
        <f t="shared" si="53"/>
        <v>Oct</v>
      </c>
      <c r="K891">
        <f t="shared" si="54"/>
        <v>5</v>
      </c>
      <c r="L891" t="str">
        <f t="shared" si="55"/>
        <v>Thu</v>
      </c>
    </row>
    <row r="892" spans="1:12" x14ac:dyDescent="0.25">
      <c r="A892" s="1">
        <v>45838</v>
      </c>
      <c r="B892" t="s">
        <v>39</v>
      </c>
      <c r="C892" t="s">
        <v>9</v>
      </c>
      <c r="D892" t="s">
        <v>10</v>
      </c>
      <c r="E892" t="s">
        <v>22</v>
      </c>
      <c r="F892">
        <v>10</v>
      </c>
      <c r="G892">
        <v>18397.07</v>
      </c>
      <c r="H892">
        <v>183970.7</v>
      </c>
      <c r="I892">
        <f t="shared" si="52"/>
        <v>6</v>
      </c>
      <c r="J892" t="str">
        <f t="shared" si="53"/>
        <v>Jun</v>
      </c>
      <c r="K892">
        <f t="shared" si="54"/>
        <v>2</v>
      </c>
      <c r="L892" t="str">
        <f t="shared" si="55"/>
        <v>Mon</v>
      </c>
    </row>
    <row r="893" spans="1:12" x14ac:dyDescent="0.25">
      <c r="A893" s="1">
        <v>45802</v>
      </c>
      <c r="B893" t="s">
        <v>20</v>
      </c>
      <c r="C893" t="s">
        <v>21</v>
      </c>
      <c r="D893" t="s">
        <v>10</v>
      </c>
      <c r="E893" t="s">
        <v>26</v>
      </c>
      <c r="F893">
        <v>2</v>
      </c>
      <c r="G893">
        <v>1464.66</v>
      </c>
      <c r="H893">
        <v>2929.32</v>
      </c>
      <c r="I893">
        <f t="shared" si="52"/>
        <v>5</v>
      </c>
      <c r="J893" t="str">
        <f t="shared" si="53"/>
        <v>May</v>
      </c>
      <c r="K893">
        <f t="shared" si="54"/>
        <v>1</v>
      </c>
      <c r="L893" t="str">
        <f t="shared" si="55"/>
        <v>Sun</v>
      </c>
    </row>
    <row r="894" spans="1:12" x14ac:dyDescent="0.25">
      <c r="A894" s="1">
        <v>45979</v>
      </c>
      <c r="B894" t="s">
        <v>20</v>
      </c>
      <c r="C894" t="s">
        <v>21</v>
      </c>
      <c r="D894" t="s">
        <v>14</v>
      </c>
      <c r="E894" t="s">
        <v>26</v>
      </c>
      <c r="F894">
        <v>1</v>
      </c>
      <c r="G894">
        <v>1847.85</v>
      </c>
      <c r="H894">
        <v>1847.85</v>
      </c>
      <c r="I894">
        <f t="shared" si="52"/>
        <v>11</v>
      </c>
      <c r="J894" t="str">
        <f t="shared" si="53"/>
        <v>Nov</v>
      </c>
      <c r="K894">
        <f t="shared" si="54"/>
        <v>3</v>
      </c>
      <c r="L894" t="str">
        <f t="shared" si="55"/>
        <v>Tue</v>
      </c>
    </row>
    <row r="895" spans="1:12" x14ac:dyDescent="0.25">
      <c r="A895" s="1">
        <v>45961</v>
      </c>
      <c r="B895" t="s">
        <v>8</v>
      </c>
      <c r="C895" t="s">
        <v>21</v>
      </c>
      <c r="D895" t="s">
        <v>10</v>
      </c>
      <c r="E895" t="s">
        <v>22</v>
      </c>
      <c r="F895">
        <v>14</v>
      </c>
      <c r="G895">
        <v>1458.31</v>
      </c>
      <c r="H895">
        <v>20416.34</v>
      </c>
      <c r="I895">
        <f t="shared" si="52"/>
        <v>10</v>
      </c>
      <c r="J895" t="str">
        <f t="shared" si="53"/>
        <v>Oct</v>
      </c>
      <c r="K895">
        <f t="shared" si="54"/>
        <v>6</v>
      </c>
      <c r="L895" t="str">
        <f t="shared" si="55"/>
        <v>Fri</v>
      </c>
    </row>
    <row r="896" spans="1:12" x14ac:dyDescent="0.25">
      <c r="A896" s="1">
        <v>45988</v>
      </c>
      <c r="B896" t="s">
        <v>12</v>
      </c>
      <c r="C896" t="s">
        <v>13</v>
      </c>
      <c r="D896" t="s">
        <v>19</v>
      </c>
      <c r="E896" t="s">
        <v>11</v>
      </c>
      <c r="F896">
        <v>6</v>
      </c>
      <c r="G896">
        <v>812.16</v>
      </c>
      <c r="H896">
        <v>4872.96</v>
      </c>
      <c r="I896">
        <f t="shared" si="52"/>
        <v>11</v>
      </c>
      <c r="J896" t="str">
        <f t="shared" si="53"/>
        <v>Nov</v>
      </c>
      <c r="K896">
        <f t="shared" si="54"/>
        <v>5</v>
      </c>
      <c r="L896" t="str">
        <f t="shared" si="55"/>
        <v>Thu</v>
      </c>
    </row>
    <row r="897" spans="1:12" x14ac:dyDescent="0.25">
      <c r="A897" s="1">
        <v>45984</v>
      </c>
      <c r="B897" t="s">
        <v>39</v>
      </c>
      <c r="C897" t="s">
        <v>21</v>
      </c>
      <c r="D897" t="s">
        <v>17</v>
      </c>
      <c r="E897" t="s">
        <v>22</v>
      </c>
      <c r="F897">
        <v>15</v>
      </c>
      <c r="G897">
        <v>12164.28</v>
      </c>
      <c r="H897">
        <v>182464.2</v>
      </c>
      <c r="I897">
        <f t="shared" si="52"/>
        <v>11</v>
      </c>
      <c r="J897" t="str">
        <f t="shared" si="53"/>
        <v>Nov</v>
      </c>
      <c r="K897">
        <f t="shared" si="54"/>
        <v>1</v>
      </c>
      <c r="L897" t="str">
        <f t="shared" si="55"/>
        <v>Sun</v>
      </c>
    </row>
    <row r="898" spans="1:12" x14ac:dyDescent="0.25">
      <c r="A898" s="1">
        <v>45975</v>
      </c>
      <c r="B898" t="s">
        <v>40</v>
      </c>
      <c r="C898" t="s">
        <v>13</v>
      </c>
      <c r="D898" t="s">
        <v>19</v>
      </c>
      <c r="E898" t="s">
        <v>11</v>
      </c>
      <c r="F898">
        <v>11</v>
      </c>
      <c r="G898">
        <v>6215.9</v>
      </c>
      <c r="H898">
        <v>68374.899999999994</v>
      </c>
      <c r="I898">
        <f t="shared" ref="I898:I961" si="56">MONTH(A898)</f>
        <v>11</v>
      </c>
      <c r="J898" t="str">
        <f t="shared" ref="J898:J961" si="57">TEXT(A898,"MMM")</f>
        <v>Nov</v>
      </c>
      <c r="K898">
        <f t="shared" ref="K898:K961" si="58">WEEKDAY(A898,1)</f>
        <v>6</v>
      </c>
      <c r="L898" t="str">
        <f t="shared" ref="L898:L961" si="59">TEXT(K898,"DDD")</f>
        <v>Fri</v>
      </c>
    </row>
    <row r="899" spans="1:12" x14ac:dyDescent="0.25">
      <c r="A899" s="1">
        <v>45699</v>
      </c>
      <c r="B899" t="s">
        <v>16</v>
      </c>
      <c r="C899" t="s">
        <v>9</v>
      </c>
      <c r="D899" t="s">
        <v>10</v>
      </c>
      <c r="E899" t="s">
        <v>26</v>
      </c>
      <c r="F899">
        <v>17</v>
      </c>
      <c r="G899">
        <v>2221.94</v>
      </c>
      <c r="H899">
        <v>37772.980000000003</v>
      </c>
      <c r="I899">
        <f t="shared" si="56"/>
        <v>2</v>
      </c>
      <c r="J899" t="str">
        <f t="shared" si="57"/>
        <v>Feb</v>
      </c>
      <c r="K899">
        <f t="shared" si="58"/>
        <v>3</v>
      </c>
      <c r="L899" t="str">
        <f t="shared" si="59"/>
        <v>Tue</v>
      </c>
    </row>
    <row r="900" spans="1:12" x14ac:dyDescent="0.25">
      <c r="A900" s="1">
        <v>45863</v>
      </c>
      <c r="B900" t="s">
        <v>41</v>
      </c>
      <c r="C900" t="s">
        <v>21</v>
      </c>
      <c r="D900" t="s">
        <v>10</v>
      </c>
      <c r="E900" t="s">
        <v>11</v>
      </c>
      <c r="F900">
        <v>12</v>
      </c>
      <c r="G900">
        <v>427.47</v>
      </c>
      <c r="H900">
        <v>5129.6400000000003</v>
      </c>
      <c r="I900">
        <f t="shared" si="56"/>
        <v>7</v>
      </c>
      <c r="J900" t="str">
        <f t="shared" si="57"/>
        <v>Jul</v>
      </c>
      <c r="K900">
        <f t="shared" si="58"/>
        <v>6</v>
      </c>
      <c r="L900" t="str">
        <f t="shared" si="59"/>
        <v>Fri</v>
      </c>
    </row>
    <row r="901" spans="1:12" x14ac:dyDescent="0.25">
      <c r="A901" s="1">
        <v>45770</v>
      </c>
      <c r="B901" t="s">
        <v>39</v>
      </c>
      <c r="C901" t="s">
        <v>9</v>
      </c>
      <c r="D901" t="s">
        <v>17</v>
      </c>
      <c r="E901" t="s">
        <v>15</v>
      </c>
      <c r="F901">
        <v>1</v>
      </c>
      <c r="G901">
        <v>19099.03</v>
      </c>
      <c r="H901">
        <v>19099.03</v>
      </c>
      <c r="I901">
        <f t="shared" si="56"/>
        <v>4</v>
      </c>
      <c r="J901" t="str">
        <f t="shared" si="57"/>
        <v>Apr</v>
      </c>
      <c r="K901">
        <f t="shared" si="58"/>
        <v>4</v>
      </c>
      <c r="L901" t="str">
        <f t="shared" si="59"/>
        <v>Wed</v>
      </c>
    </row>
    <row r="902" spans="1:12" x14ac:dyDescent="0.25">
      <c r="A902" s="1">
        <v>45875</v>
      </c>
      <c r="B902" t="s">
        <v>24</v>
      </c>
      <c r="C902" t="s">
        <v>9</v>
      </c>
      <c r="D902" t="s">
        <v>19</v>
      </c>
      <c r="E902" t="s">
        <v>27</v>
      </c>
      <c r="F902">
        <v>8</v>
      </c>
      <c r="G902">
        <v>827.37</v>
      </c>
      <c r="H902">
        <v>6618.96</v>
      </c>
      <c r="I902">
        <f t="shared" si="56"/>
        <v>8</v>
      </c>
      <c r="J902" t="str">
        <f t="shared" si="57"/>
        <v>Aug</v>
      </c>
      <c r="K902">
        <f t="shared" si="58"/>
        <v>4</v>
      </c>
      <c r="L902" t="str">
        <f t="shared" si="59"/>
        <v>Wed</v>
      </c>
    </row>
    <row r="903" spans="1:12" x14ac:dyDescent="0.25">
      <c r="A903" s="1">
        <v>45721</v>
      </c>
      <c r="B903" t="s">
        <v>8</v>
      </c>
      <c r="C903" t="s">
        <v>21</v>
      </c>
      <c r="D903" t="s">
        <v>19</v>
      </c>
      <c r="E903" t="s">
        <v>11</v>
      </c>
      <c r="F903">
        <v>17</v>
      </c>
      <c r="G903">
        <v>1430.13</v>
      </c>
      <c r="H903">
        <v>24312.21</v>
      </c>
      <c r="I903">
        <f t="shared" si="56"/>
        <v>3</v>
      </c>
      <c r="J903" t="str">
        <f t="shared" si="57"/>
        <v>Mar</v>
      </c>
      <c r="K903">
        <f t="shared" si="58"/>
        <v>4</v>
      </c>
      <c r="L903" t="str">
        <f t="shared" si="59"/>
        <v>Wed</v>
      </c>
    </row>
    <row r="904" spans="1:12" x14ac:dyDescent="0.25">
      <c r="A904" s="1">
        <v>45680</v>
      </c>
      <c r="B904" t="s">
        <v>20</v>
      </c>
      <c r="C904" t="s">
        <v>9</v>
      </c>
      <c r="D904" t="s">
        <v>10</v>
      </c>
      <c r="E904" t="s">
        <v>18</v>
      </c>
      <c r="F904">
        <v>15</v>
      </c>
      <c r="G904">
        <v>1840.57</v>
      </c>
      <c r="H904">
        <v>27608.55</v>
      </c>
      <c r="I904">
        <f t="shared" si="56"/>
        <v>1</v>
      </c>
      <c r="J904" t="str">
        <f t="shared" si="57"/>
        <v>Jan</v>
      </c>
      <c r="K904">
        <f t="shared" si="58"/>
        <v>5</v>
      </c>
      <c r="L904" t="str">
        <f t="shared" si="59"/>
        <v>Thu</v>
      </c>
    </row>
    <row r="905" spans="1:12" x14ac:dyDescent="0.25">
      <c r="A905" s="1">
        <v>45862</v>
      </c>
      <c r="B905" t="s">
        <v>20</v>
      </c>
      <c r="C905" t="s">
        <v>13</v>
      </c>
      <c r="D905" t="s">
        <v>14</v>
      </c>
      <c r="E905" t="s">
        <v>26</v>
      </c>
      <c r="F905">
        <v>18</v>
      </c>
      <c r="G905">
        <v>1329.28</v>
      </c>
      <c r="H905">
        <v>23927.040000000001</v>
      </c>
      <c r="I905">
        <f t="shared" si="56"/>
        <v>7</v>
      </c>
      <c r="J905" t="str">
        <f t="shared" si="57"/>
        <v>Jul</v>
      </c>
      <c r="K905">
        <f t="shared" si="58"/>
        <v>5</v>
      </c>
      <c r="L905" t="str">
        <f t="shared" si="59"/>
        <v>Thu</v>
      </c>
    </row>
    <row r="906" spans="1:12" x14ac:dyDescent="0.25">
      <c r="A906" s="1">
        <v>45796</v>
      </c>
      <c r="B906" t="s">
        <v>25</v>
      </c>
      <c r="C906" t="s">
        <v>21</v>
      </c>
      <c r="D906" t="s">
        <v>19</v>
      </c>
      <c r="E906" t="s">
        <v>15</v>
      </c>
      <c r="F906">
        <v>1</v>
      </c>
      <c r="G906">
        <v>2777.12</v>
      </c>
      <c r="H906">
        <v>2777.12</v>
      </c>
      <c r="I906">
        <f t="shared" si="56"/>
        <v>5</v>
      </c>
      <c r="J906" t="str">
        <f t="shared" si="57"/>
        <v>May</v>
      </c>
      <c r="K906">
        <f t="shared" si="58"/>
        <v>2</v>
      </c>
      <c r="L906" t="str">
        <f t="shared" si="59"/>
        <v>Mon</v>
      </c>
    </row>
    <row r="907" spans="1:12" x14ac:dyDescent="0.25">
      <c r="A907" s="1">
        <v>45715</v>
      </c>
      <c r="B907" t="s">
        <v>25</v>
      </c>
      <c r="C907" t="s">
        <v>13</v>
      </c>
      <c r="D907" t="s">
        <v>14</v>
      </c>
      <c r="E907" t="s">
        <v>15</v>
      </c>
      <c r="F907">
        <v>1</v>
      </c>
      <c r="G907">
        <v>2533.6</v>
      </c>
      <c r="H907">
        <v>2533.6</v>
      </c>
      <c r="I907">
        <f t="shared" si="56"/>
        <v>2</v>
      </c>
      <c r="J907" t="str">
        <f t="shared" si="57"/>
        <v>Feb</v>
      </c>
      <c r="K907">
        <f t="shared" si="58"/>
        <v>5</v>
      </c>
      <c r="L907" t="str">
        <f t="shared" si="59"/>
        <v>Thu</v>
      </c>
    </row>
    <row r="908" spans="1:12" x14ac:dyDescent="0.25">
      <c r="A908" s="1">
        <v>45991</v>
      </c>
      <c r="B908" t="s">
        <v>12</v>
      </c>
      <c r="C908" t="s">
        <v>9</v>
      </c>
      <c r="D908" t="s">
        <v>10</v>
      </c>
      <c r="E908" t="s">
        <v>18</v>
      </c>
      <c r="F908">
        <v>13</v>
      </c>
      <c r="G908">
        <v>1090.58</v>
      </c>
      <c r="H908">
        <v>14177.54</v>
      </c>
      <c r="I908">
        <f t="shared" si="56"/>
        <v>11</v>
      </c>
      <c r="J908" t="str">
        <f t="shared" si="57"/>
        <v>Nov</v>
      </c>
      <c r="K908">
        <f t="shared" si="58"/>
        <v>1</v>
      </c>
      <c r="L908" t="str">
        <f t="shared" si="59"/>
        <v>Sun</v>
      </c>
    </row>
    <row r="909" spans="1:12" x14ac:dyDescent="0.25">
      <c r="A909" s="1">
        <v>45875</v>
      </c>
      <c r="B909" t="s">
        <v>40</v>
      </c>
      <c r="C909" t="s">
        <v>9</v>
      </c>
      <c r="D909" t="s">
        <v>17</v>
      </c>
      <c r="E909" t="s">
        <v>26</v>
      </c>
      <c r="F909">
        <v>1</v>
      </c>
      <c r="G909">
        <v>5024.43</v>
      </c>
      <c r="H909">
        <v>5024.43</v>
      </c>
      <c r="I909">
        <f t="shared" si="56"/>
        <v>8</v>
      </c>
      <c r="J909" t="str">
        <f t="shared" si="57"/>
        <v>Aug</v>
      </c>
      <c r="K909">
        <f t="shared" si="58"/>
        <v>4</v>
      </c>
      <c r="L909" t="str">
        <f t="shared" si="59"/>
        <v>Wed</v>
      </c>
    </row>
    <row r="910" spans="1:12" x14ac:dyDescent="0.25">
      <c r="A910" s="1">
        <v>45950</v>
      </c>
      <c r="B910" t="s">
        <v>20</v>
      </c>
      <c r="C910" t="s">
        <v>21</v>
      </c>
      <c r="D910" t="s">
        <v>17</v>
      </c>
      <c r="E910" t="s">
        <v>26</v>
      </c>
      <c r="F910">
        <v>3</v>
      </c>
      <c r="G910">
        <v>1614.9</v>
      </c>
      <c r="H910">
        <v>4844.7</v>
      </c>
      <c r="I910">
        <f t="shared" si="56"/>
        <v>10</v>
      </c>
      <c r="J910" t="str">
        <f t="shared" si="57"/>
        <v>Oct</v>
      </c>
      <c r="K910">
        <f t="shared" si="58"/>
        <v>2</v>
      </c>
      <c r="L910" t="str">
        <f t="shared" si="59"/>
        <v>Mon</v>
      </c>
    </row>
    <row r="911" spans="1:12" x14ac:dyDescent="0.25">
      <c r="A911" s="1">
        <v>45999</v>
      </c>
      <c r="B911" t="s">
        <v>16</v>
      </c>
      <c r="C911" t="s">
        <v>9</v>
      </c>
      <c r="D911" t="s">
        <v>17</v>
      </c>
      <c r="E911" t="s">
        <v>22</v>
      </c>
      <c r="F911">
        <v>7</v>
      </c>
      <c r="G911">
        <v>3081.2</v>
      </c>
      <c r="H911">
        <v>21568.400000000001</v>
      </c>
      <c r="I911">
        <f t="shared" si="56"/>
        <v>12</v>
      </c>
      <c r="J911" t="str">
        <f t="shared" si="57"/>
        <v>Dec</v>
      </c>
      <c r="K911">
        <f t="shared" si="58"/>
        <v>2</v>
      </c>
      <c r="L911" t="str">
        <f t="shared" si="59"/>
        <v>Mon</v>
      </c>
    </row>
    <row r="912" spans="1:12" x14ac:dyDescent="0.25">
      <c r="A912" s="1">
        <v>45689</v>
      </c>
      <c r="B912" t="s">
        <v>16</v>
      </c>
      <c r="C912" t="s">
        <v>13</v>
      </c>
      <c r="D912" t="s">
        <v>10</v>
      </c>
      <c r="E912" t="s">
        <v>22</v>
      </c>
      <c r="F912">
        <v>1</v>
      </c>
      <c r="G912">
        <v>2592.8000000000002</v>
      </c>
      <c r="H912">
        <v>2592.8000000000002</v>
      </c>
      <c r="I912">
        <f t="shared" si="56"/>
        <v>2</v>
      </c>
      <c r="J912" t="str">
        <f t="shared" si="57"/>
        <v>Feb</v>
      </c>
      <c r="K912">
        <f t="shared" si="58"/>
        <v>7</v>
      </c>
      <c r="L912" t="str">
        <f t="shared" si="59"/>
        <v>Sat</v>
      </c>
    </row>
    <row r="913" spans="1:12" x14ac:dyDescent="0.25">
      <c r="A913" s="1">
        <v>45836</v>
      </c>
      <c r="B913" t="s">
        <v>25</v>
      </c>
      <c r="C913" t="s">
        <v>13</v>
      </c>
      <c r="D913" t="s">
        <v>14</v>
      </c>
      <c r="E913" t="s">
        <v>26</v>
      </c>
      <c r="F913">
        <v>2</v>
      </c>
      <c r="G913">
        <v>3896.5</v>
      </c>
      <c r="H913">
        <v>7793</v>
      </c>
      <c r="I913">
        <f t="shared" si="56"/>
        <v>6</v>
      </c>
      <c r="J913" t="str">
        <f t="shared" si="57"/>
        <v>Jun</v>
      </c>
      <c r="K913">
        <f t="shared" si="58"/>
        <v>7</v>
      </c>
      <c r="L913" t="str">
        <f t="shared" si="59"/>
        <v>Sat</v>
      </c>
    </row>
    <row r="914" spans="1:12" x14ac:dyDescent="0.25">
      <c r="A914" s="1">
        <v>45782</v>
      </c>
      <c r="B914" t="s">
        <v>39</v>
      </c>
      <c r="C914" t="s">
        <v>9</v>
      </c>
      <c r="D914" t="s">
        <v>14</v>
      </c>
      <c r="E914" t="s">
        <v>11</v>
      </c>
      <c r="F914">
        <v>15</v>
      </c>
      <c r="G914">
        <v>13199.08</v>
      </c>
      <c r="H914">
        <v>197986.2</v>
      </c>
      <c r="I914">
        <f t="shared" si="56"/>
        <v>5</v>
      </c>
      <c r="J914" t="str">
        <f t="shared" si="57"/>
        <v>May</v>
      </c>
      <c r="K914">
        <f t="shared" si="58"/>
        <v>2</v>
      </c>
      <c r="L914" t="str">
        <f t="shared" si="59"/>
        <v>Mon</v>
      </c>
    </row>
    <row r="915" spans="1:12" x14ac:dyDescent="0.25">
      <c r="A915" s="1">
        <v>45860</v>
      </c>
      <c r="B915" t="s">
        <v>41</v>
      </c>
      <c r="C915" t="s">
        <v>9</v>
      </c>
      <c r="D915" t="s">
        <v>19</v>
      </c>
      <c r="E915" t="s">
        <v>11</v>
      </c>
      <c r="F915">
        <v>17</v>
      </c>
      <c r="G915">
        <v>489.54</v>
      </c>
      <c r="H915">
        <v>8322.18</v>
      </c>
      <c r="I915">
        <f t="shared" si="56"/>
        <v>7</v>
      </c>
      <c r="J915" t="str">
        <f t="shared" si="57"/>
        <v>Jul</v>
      </c>
      <c r="K915">
        <f t="shared" si="58"/>
        <v>3</v>
      </c>
      <c r="L915" t="str">
        <f t="shared" si="59"/>
        <v>Tue</v>
      </c>
    </row>
    <row r="916" spans="1:12" x14ac:dyDescent="0.25">
      <c r="A916" s="1">
        <v>45843</v>
      </c>
      <c r="B916" t="s">
        <v>16</v>
      </c>
      <c r="C916" t="s">
        <v>21</v>
      </c>
      <c r="D916" t="s">
        <v>14</v>
      </c>
      <c r="E916" t="s">
        <v>18</v>
      </c>
      <c r="F916">
        <v>18</v>
      </c>
      <c r="G916">
        <v>3075.53</v>
      </c>
      <c r="H916">
        <v>55359.54</v>
      </c>
      <c r="I916">
        <f t="shared" si="56"/>
        <v>7</v>
      </c>
      <c r="J916" t="str">
        <f t="shared" si="57"/>
        <v>Jul</v>
      </c>
      <c r="K916">
        <f t="shared" si="58"/>
        <v>7</v>
      </c>
      <c r="L916" t="str">
        <f t="shared" si="59"/>
        <v>Sat</v>
      </c>
    </row>
    <row r="917" spans="1:12" x14ac:dyDescent="0.25">
      <c r="A917" s="1">
        <v>45927</v>
      </c>
      <c r="B917" t="s">
        <v>40</v>
      </c>
      <c r="C917" t="s">
        <v>13</v>
      </c>
      <c r="D917" t="s">
        <v>19</v>
      </c>
      <c r="E917" t="s">
        <v>26</v>
      </c>
      <c r="F917">
        <v>1</v>
      </c>
      <c r="G917">
        <v>6060.96</v>
      </c>
      <c r="H917">
        <v>6060.96</v>
      </c>
      <c r="I917">
        <f t="shared" si="56"/>
        <v>9</v>
      </c>
      <c r="J917" t="str">
        <f t="shared" si="57"/>
        <v>Sep</v>
      </c>
      <c r="K917">
        <f t="shared" si="58"/>
        <v>7</v>
      </c>
      <c r="L917" t="str">
        <f t="shared" si="59"/>
        <v>Sat</v>
      </c>
    </row>
    <row r="918" spans="1:12" x14ac:dyDescent="0.25">
      <c r="A918" s="1">
        <v>45682</v>
      </c>
      <c r="B918" t="s">
        <v>24</v>
      </c>
      <c r="C918" t="s">
        <v>13</v>
      </c>
      <c r="D918" t="s">
        <v>17</v>
      </c>
      <c r="E918" t="s">
        <v>22</v>
      </c>
      <c r="F918">
        <v>13</v>
      </c>
      <c r="G918">
        <v>1027.29</v>
      </c>
      <c r="H918">
        <v>13354.77</v>
      </c>
      <c r="I918">
        <f t="shared" si="56"/>
        <v>1</v>
      </c>
      <c r="J918" t="str">
        <f t="shared" si="57"/>
        <v>Jan</v>
      </c>
      <c r="K918">
        <f t="shared" si="58"/>
        <v>7</v>
      </c>
      <c r="L918" t="str">
        <f t="shared" si="59"/>
        <v>Sat</v>
      </c>
    </row>
    <row r="919" spans="1:12" x14ac:dyDescent="0.25">
      <c r="A919" s="1">
        <v>45776</v>
      </c>
      <c r="B919" t="s">
        <v>39</v>
      </c>
      <c r="C919" t="s">
        <v>9</v>
      </c>
      <c r="D919" t="s">
        <v>19</v>
      </c>
      <c r="E919" t="s">
        <v>15</v>
      </c>
      <c r="F919">
        <v>2</v>
      </c>
      <c r="G919">
        <v>14075.44</v>
      </c>
      <c r="H919">
        <v>28150.880000000001</v>
      </c>
      <c r="I919">
        <f t="shared" si="56"/>
        <v>4</v>
      </c>
      <c r="J919" t="str">
        <f t="shared" si="57"/>
        <v>Apr</v>
      </c>
      <c r="K919">
        <f t="shared" si="58"/>
        <v>3</v>
      </c>
      <c r="L919" t="str">
        <f t="shared" si="59"/>
        <v>Tue</v>
      </c>
    </row>
    <row r="920" spans="1:12" x14ac:dyDescent="0.25">
      <c r="A920" s="1">
        <v>45974</v>
      </c>
      <c r="B920" t="s">
        <v>41</v>
      </c>
      <c r="C920" t="s">
        <v>9</v>
      </c>
      <c r="D920" t="s">
        <v>19</v>
      </c>
      <c r="E920" t="s">
        <v>15</v>
      </c>
      <c r="F920">
        <v>17</v>
      </c>
      <c r="G920">
        <v>478.21</v>
      </c>
      <c r="H920">
        <v>8129.57</v>
      </c>
      <c r="I920">
        <f t="shared" si="56"/>
        <v>11</v>
      </c>
      <c r="J920" t="str">
        <f t="shared" si="57"/>
        <v>Nov</v>
      </c>
      <c r="K920">
        <f t="shared" si="58"/>
        <v>5</v>
      </c>
      <c r="L920" t="str">
        <f t="shared" si="59"/>
        <v>Thu</v>
      </c>
    </row>
    <row r="921" spans="1:12" x14ac:dyDescent="0.25">
      <c r="A921" s="1">
        <v>45750</v>
      </c>
      <c r="B921" t="s">
        <v>41</v>
      </c>
      <c r="C921" t="s">
        <v>21</v>
      </c>
      <c r="D921" t="s">
        <v>10</v>
      </c>
      <c r="E921" t="s">
        <v>22</v>
      </c>
      <c r="F921">
        <v>18</v>
      </c>
      <c r="G921">
        <v>738.41</v>
      </c>
      <c r="H921">
        <v>13291.38</v>
      </c>
      <c r="I921">
        <f t="shared" si="56"/>
        <v>4</v>
      </c>
      <c r="J921" t="str">
        <f t="shared" si="57"/>
        <v>Apr</v>
      </c>
      <c r="K921">
        <f t="shared" si="58"/>
        <v>5</v>
      </c>
      <c r="L921" t="str">
        <f t="shared" si="59"/>
        <v>Thu</v>
      </c>
    </row>
    <row r="922" spans="1:12" x14ac:dyDescent="0.25">
      <c r="A922" s="1">
        <v>45808</v>
      </c>
      <c r="B922" t="s">
        <v>12</v>
      </c>
      <c r="C922" t="s">
        <v>9</v>
      </c>
      <c r="D922" t="s">
        <v>17</v>
      </c>
      <c r="E922" t="s">
        <v>26</v>
      </c>
      <c r="F922">
        <v>10</v>
      </c>
      <c r="G922">
        <v>719.76</v>
      </c>
      <c r="H922">
        <v>7197.6</v>
      </c>
      <c r="I922">
        <f t="shared" si="56"/>
        <v>5</v>
      </c>
      <c r="J922" t="str">
        <f t="shared" si="57"/>
        <v>May</v>
      </c>
      <c r="K922">
        <f t="shared" si="58"/>
        <v>7</v>
      </c>
      <c r="L922" t="str">
        <f t="shared" si="59"/>
        <v>Sat</v>
      </c>
    </row>
    <row r="923" spans="1:12" x14ac:dyDescent="0.25">
      <c r="A923" s="1">
        <v>45757</v>
      </c>
      <c r="B923" t="s">
        <v>16</v>
      </c>
      <c r="C923" t="s">
        <v>9</v>
      </c>
      <c r="D923" t="s">
        <v>17</v>
      </c>
      <c r="E923" t="s">
        <v>22</v>
      </c>
      <c r="F923">
        <v>4</v>
      </c>
      <c r="G923">
        <v>3178.09</v>
      </c>
      <c r="H923">
        <v>12712.36</v>
      </c>
      <c r="I923">
        <f t="shared" si="56"/>
        <v>4</v>
      </c>
      <c r="J923" t="str">
        <f t="shared" si="57"/>
        <v>Apr</v>
      </c>
      <c r="K923">
        <f t="shared" si="58"/>
        <v>5</v>
      </c>
      <c r="L923" t="str">
        <f t="shared" si="59"/>
        <v>Thu</v>
      </c>
    </row>
    <row r="924" spans="1:12" x14ac:dyDescent="0.25">
      <c r="A924" s="1">
        <v>45704</v>
      </c>
      <c r="B924" t="s">
        <v>40</v>
      </c>
      <c r="C924" t="s">
        <v>9</v>
      </c>
      <c r="D924" t="s">
        <v>10</v>
      </c>
      <c r="E924" t="s">
        <v>11</v>
      </c>
      <c r="F924">
        <v>15</v>
      </c>
      <c r="G924">
        <v>4149.74</v>
      </c>
      <c r="H924">
        <v>62246.1</v>
      </c>
      <c r="I924">
        <f t="shared" si="56"/>
        <v>2</v>
      </c>
      <c r="J924" t="str">
        <f t="shared" si="57"/>
        <v>Feb</v>
      </c>
      <c r="K924">
        <f t="shared" si="58"/>
        <v>1</v>
      </c>
      <c r="L924" t="str">
        <f t="shared" si="59"/>
        <v>Sun</v>
      </c>
    </row>
    <row r="925" spans="1:12" x14ac:dyDescent="0.25">
      <c r="A925" s="1">
        <v>45903</v>
      </c>
      <c r="B925" t="s">
        <v>23</v>
      </c>
      <c r="C925" t="s">
        <v>21</v>
      </c>
      <c r="D925" t="s">
        <v>19</v>
      </c>
      <c r="E925" t="s">
        <v>26</v>
      </c>
      <c r="F925">
        <v>14</v>
      </c>
      <c r="G925">
        <v>1021.54</v>
      </c>
      <c r="H925">
        <v>14301.56</v>
      </c>
      <c r="I925">
        <f t="shared" si="56"/>
        <v>9</v>
      </c>
      <c r="J925" t="str">
        <f t="shared" si="57"/>
        <v>Sep</v>
      </c>
      <c r="K925">
        <f t="shared" si="58"/>
        <v>4</v>
      </c>
      <c r="L925" t="str">
        <f t="shared" si="59"/>
        <v>Wed</v>
      </c>
    </row>
    <row r="926" spans="1:12" x14ac:dyDescent="0.25">
      <c r="A926" s="1">
        <v>45994</v>
      </c>
      <c r="B926" t="s">
        <v>24</v>
      </c>
      <c r="C926" t="s">
        <v>13</v>
      </c>
      <c r="D926" t="s">
        <v>14</v>
      </c>
      <c r="E926" t="s">
        <v>18</v>
      </c>
      <c r="F926">
        <v>10</v>
      </c>
      <c r="G926">
        <v>1032.1400000000001</v>
      </c>
      <c r="H926">
        <v>10321.4</v>
      </c>
      <c r="I926">
        <f t="shared" si="56"/>
        <v>12</v>
      </c>
      <c r="J926" t="str">
        <f t="shared" si="57"/>
        <v>Dec</v>
      </c>
      <c r="K926">
        <f t="shared" si="58"/>
        <v>4</v>
      </c>
      <c r="L926" t="str">
        <f t="shared" si="59"/>
        <v>Wed</v>
      </c>
    </row>
    <row r="927" spans="1:12" x14ac:dyDescent="0.25">
      <c r="A927" s="1">
        <v>45732</v>
      </c>
      <c r="B927" t="s">
        <v>39</v>
      </c>
      <c r="C927" t="s">
        <v>13</v>
      </c>
      <c r="D927" t="s">
        <v>10</v>
      </c>
      <c r="E927" t="s">
        <v>11</v>
      </c>
      <c r="F927">
        <v>17</v>
      </c>
      <c r="G927">
        <v>18136.25</v>
      </c>
      <c r="H927">
        <v>308316.25</v>
      </c>
      <c r="I927">
        <f t="shared" si="56"/>
        <v>3</v>
      </c>
      <c r="J927" t="str">
        <f t="shared" si="57"/>
        <v>Mar</v>
      </c>
      <c r="K927">
        <f t="shared" si="58"/>
        <v>1</v>
      </c>
      <c r="L927" t="str">
        <f t="shared" si="59"/>
        <v>Sun</v>
      </c>
    </row>
    <row r="928" spans="1:12" x14ac:dyDescent="0.25">
      <c r="A928" s="1">
        <v>46011</v>
      </c>
      <c r="B928" t="s">
        <v>41</v>
      </c>
      <c r="C928" t="s">
        <v>9</v>
      </c>
      <c r="D928" t="s">
        <v>14</v>
      </c>
      <c r="E928" t="s">
        <v>18</v>
      </c>
      <c r="F928">
        <v>16</v>
      </c>
      <c r="G928">
        <v>434.78</v>
      </c>
      <c r="H928">
        <v>6956.48</v>
      </c>
      <c r="I928">
        <f t="shared" si="56"/>
        <v>12</v>
      </c>
      <c r="J928" t="str">
        <f t="shared" si="57"/>
        <v>Dec</v>
      </c>
      <c r="K928">
        <f t="shared" si="58"/>
        <v>7</v>
      </c>
      <c r="L928" t="str">
        <f t="shared" si="59"/>
        <v>Sat</v>
      </c>
    </row>
    <row r="929" spans="1:12" x14ac:dyDescent="0.25">
      <c r="A929" s="1">
        <v>45966</v>
      </c>
      <c r="B929" t="s">
        <v>39</v>
      </c>
      <c r="C929" t="s">
        <v>9</v>
      </c>
      <c r="D929" t="s">
        <v>17</v>
      </c>
      <c r="E929" t="s">
        <v>26</v>
      </c>
      <c r="F929">
        <v>16</v>
      </c>
      <c r="G929">
        <v>13987.2</v>
      </c>
      <c r="H929">
        <v>223795.20000000001</v>
      </c>
      <c r="I929">
        <f t="shared" si="56"/>
        <v>11</v>
      </c>
      <c r="J929" t="str">
        <f t="shared" si="57"/>
        <v>Nov</v>
      </c>
      <c r="K929">
        <f t="shared" si="58"/>
        <v>4</v>
      </c>
      <c r="L929" t="str">
        <f t="shared" si="59"/>
        <v>Wed</v>
      </c>
    </row>
    <row r="930" spans="1:12" x14ac:dyDescent="0.25">
      <c r="A930" s="1">
        <v>45856</v>
      </c>
      <c r="B930" t="s">
        <v>20</v>
      </c>
      <c r="C930" t="s">
        <v>21</v>
      </c>
      <c r="D930" t="s">
        <v>19</v>
      </c>
      <c r="E930" t="s">
        <v>27</v>
      </c>
      <c r="F930">
        <v>16</v>
      </c>
      <c r="G930">
        <v>1645.53</v>
      </c>
      <c r="H930">
        <v>26328.48</v>
      </c>
      <c r="I930">
        <f t="shared" si="56"/>
        <v>7</v>
      </c>
      <c r="J930" t="str">
        <f t="shared" si="57"/>
        <v>Jul</v>
      </c>
      <c r="K930">
        <f t="shared" si="58"/>
        <v>6</v>
      </c>
      <c r="L930" t="str">
        <f t="shared" si="59"/>
        <v>Fri</v>
      </c>
    </row>
    <row r="931" spans="1:12" x14ac:dyDescent="0.25">
      <c r="A931" s="1">
        <v>45990</v>
      </c>
      <c r="B931" t="s">
        <v>12</v>
      </c>
      <c r="C931" t="s">
        <v>21</v>
      </c>
      <c r="D931" t="s">
        <v>14</v>
      </c>
      <c r="E931" t="s">
        <v>18</v>
      </c>
      <c r="F931">
        <v>13</v>
      </c>
      <c r="G931">
        <v>835.46</v>
      </c>
      <c r="H931">
        <v>10860.98</v>
      </c>
      <c r="I931">
        <f t="shared" si="56"/>
        <v>11</v>
      </c>
      <c r="J931" t="str">
        <f t="shared" si="57"/>
        <v>Nov</v>
      </c>
      <c r="K931">
        <f t="shared" si="58"/>
        <v>7</v>
      </c>
      <c r="L931" t="str">
        <f t="shared" si="59"/>
        <v>Sat</v>
      </c>
    </row>
    <row r="932" spans="1:12" x14ac:dyDescent="0.25">
      <c r="A932" s="1">
        <v>45724</v>
      </c>
      <c r="B932" t="s">
        <v>12</v>
      </c>
      <c r="C932" t="s">
        <v>13</v>
      </c>
      <c r="D932" t="s">
        <v>14</v>
      </c>
      <c r="E932" t="s">
        <v>18</v>
      </c>
      <c r="F932">
        <v>17</v>
      </c>
      <c r="G932">
        <v>1114.9000000000001</v>
      </c>
      <c r="H932">
        <v>18953.3</v>
      </c>
      <c r="I932">
        <f t="shared" si="56"/>
        <v>3</v>
      </c>
      <c r="J932" t="str">
        <f t="shared" si="57"/>
        <v>Mar</v>
      </c>
      <c r="K932">
        <f t="shared" si="58"/>
        <v>7</v>
      </c>
      <c r="L932" t="str">
        <f t="shared" si="59"/>
        <v>Sat</v>
      </c>
    </row>
    <row r="933" spans="1:12" x14ac:dyDescent="0.25">
      <c r="A933" s="1">
        <v>45701</v>
      </c>
      <c r="B933" t="s">
        <v>39</v>
      </c>
      <c r="C933" t="s">
        <v>9</v>
      </c>
      <c r="D933" t="s">
        <v>14</v>
      </c>
      <c r="E933" t="s">
        <v>26</v>
      </c>
      <c r="F933">
        <v>12</v>
      </c>
      <c r="G933">
        <v>11611.05</v>
      </c>
      <c r="H933">
        <v>139332.6</v>
      </c>
      <c r="I933">
        <f t="shared" si="56"/>
        <v>2</v>
      </c>
      <c r="J933" t="str">
        <f t="shared" si="57"/>
        <v>Feb</v>
      </c>
      <c r="K933">
        <f t="shared" si="58"/>
        <v>5</v>
      </c>
      <c r="L933" t="str">
        <f t="shared" si="59"/>
        <v>Thu</v>
      </c>
    </row>
    <row r="934" spans="1:12" x14ac:dyDescent="0.25">
      <c r="A934" s="1">
        <v>45960</v>
      </c>
      <c r="B934" t="s">
        <v>8</v>
      </c>
      <c r="C934" t="s">
        <v>21</v>
      </c>
      <c r="D934" t="s">
        <v>14</v>
      </c>
      <c r="E934" t="s">
        <v>18</v>
      </c>
      <c r="F934">
        <v>15</v>
      </c>
      <c r="G934">
        <v>1080.24</v>
      </c>
      <c r="H934">
        <v>16203.6</v>
      </c>
      <c r="I934">
        <f t="shared" si="56"/>
        <v>10</v>
      </c>
      <c r="J934" t="str">
        <f t="shared" si="57"/>
        <v>Oct</v>
      </c>
      <c r="K934">
        <f t="shared" si="58"/>
        <v>5</v>
      </c>
      <c r="L934" t="str">
        <f t="shared" si="59"/>
        <v>Thu</v>
      </c>
    </row>
    <row r="935" spans="1:12" x14ac:dyDescent="0.25">
      <c r="A935" s="1">
        <v>45993</v>
      </c>
      <c r="B935" t="s">
        <v>16</v>
      </c>
      <c r="C935" t="s">
        <v>13</v>
      </c>
      <c r="D935" t="s">
        <v>14</v>
      </c>
      <c r="E935" t="s">
        <v>11</v>
      </c>
      <c r="F935">
        <v>12</v>
      </c>
      <c r="G935">
        <v>2801.3</v>
      </c>
      <c r="H935">
        <v>33615.599999999999</v>
      </c>
      <c r="I935">
        <f t="shared" si="56"/>
        <v>12</v>
      </c>
      <c r="J935" t="str">
        <f t="shared" si="57"/>
        <v>Dec</v>
      </c>
      <c r="K935">
        <f t="shared" si="58"/>
        <v>3</v>
      </c>
      <c r="L935" t="str">
        <f t="shared" si="59"/>
        <v>Tue</v>
      </c>
    </row>
    <row r="936" spans="1:12" x14ac:dyDescent="0.25">
      <c r="A936" s="1">
        <v>45756</v>
      </c>
      <c r="B936" t="s">
        <v>23</v>
      </c>
      <c r="C936" t="s">
        <v>21</v>
      </c>
      <c r="D936" t="s">
        <v>19</v>
      </c>
      <c r="E936" t="s">
        <v>15</v>
      </c>
      <c r="F936">
        <v>14</v>
      </c>
      <c r="G936">
        <v>592.85</v>
      </c>
      <c r="H936">
        <v>8299.9</v>
      </c>
      <c r="I936">
        <f t="shared" si="56"/>
        <v>4</v>
      </c>
      <c r="J936" t="str">
        <f t="shared" si="57"/>
        <v>Apr</v>
      </c>
      <c r="K936">
        <f t="shared" si="58"/>
        <v>4</v>
      </c>
      <c r="L936" t="str">
        <f t="shared" si="59"/>
        <v>Wed</v>
      </c>
    </row>
    <row r="937" spans="1:12" x14ac:dyDescent="0.25">
      <c r="A937" s="1">
        <v>45848</v>
      </c>
      <c r="B937" t="s">
        <v>8</v>
      </c>
      <c r="C937" t="s">
        <v>21</v>
      </c>
      <c r="D937" t="s">
        <v>14</v>
      </c>
      <c r="E937" t="s">
        <v>18</v>
      </c>
      <c r="F937">
        <v>19</v>
      </c>
      <c r="G937">
        <v>978.05</v>
      </c>
      <c r="H937">
        <v>18582.95</v>
      </c>
      <c r="I937">
        <f t="shared" si="56"/>
        <v>7</v>
      </c>
      <c r="J937" t="str">
        <f t="shared" si="57"/>
        <v>Jul</v>
      </c>
      <c r="K937">
        <f t="shared" si="58"/>
        <v>5</v>
      </c>
      <c r="L937" t="str">
        <f t="shared" si="59"/>
        <v>Thu</v>
      </c>
    </row>
    <row r="938" spans="1:12" x14ac:dyDescent="0.25">
      <c r="A938" s="1">
        <v>45705</v>
      </c>
      <c r="B938" t="s">
        <v>23</v>
      </c>
      <c r="C938" t="s">
        <v>21</v>
      </c>
      <c r="D938" t="s">
        <v>19</v>
      </c>
      <c r="E938" t="s">
        <v>11</v>
      </c>
      <c r="F938">
        <v>11</v>
      </c>
      <c r="G938">
        <v>600.45000000000005</v>
      </c>
      <c r="H938">
        <v>6604.95</v>
      </c>
      <c r="I938">
        <f t="shared" si="56"/>
        <v>2</v>
      </c>
      <c r="J938" t="str">
        <f t="shared" si="57"/>
        <v>Feb</v>
      </c>
      <c r="K938">
        <f t="shared" si="58"/>
        <v>2</v>
      </c>
      <c r="L938" t="str">
        <f t="shared" si="59"/>
        <v>Mon</v>
      </c>
    </row>
    <row r="939" spans="1:12" x14ac:dyDescent="0.25">
      <c r="A939" s="1">
        <v>45791</v>
      </c>
      <c r="B939" t="s">
        <v>24</v>
      </c>
      <c r="C939" t="s">
        <v>13</v>
      </c>
      <c r="D939" t="s">
        <v>10</v>
      </c>
      <c r="E939" t="s">
        <v>11</v>
      </c>
      <c r="F939">
        <v>5</v>
      </c>
      <c r="G939">
        <v>1123.96</v>
      </c>
      <c r="H939">
        <v>5619.8</v>
      </c>
      <c r="I939">
        <f t="shared" si="56"/>
        <v>5</v>
      </c>
      <c r="J939" t="str">
        <f t="shared" si="57"/>
        <v>May</v>
      </c>
      <c r="K939">
        <f t="shared" si="58"/>
        <v>4</v>
      </c>
      <c r="L939" t="str">
        <f t="shared" si="59"/>
        <v>Wed</v>
      </c>
    </row>
    <row r="940" spans="1:12" x14ac:dyDescent="0.25">
      <c r="A940" s="1">
        <v>45949</v>
      </c>
      <c r="B940" t="s">
        <v>40</v>
      </c>
      <c r="C940" t="s">
        <v>13</v>
      </c>
      <c r="D940" t="s">
        <v>10</v>
      </c>
      <c r="E940" t="s">
        <v>22</v>
      </c>
      <c r="F940">
        <v>6</v>
      </c>
      <c r="G940">
        <v>4135.24</v>
      </c>
      <c r="H940">
        <v>24811.439999999999</v>
      </c>
      <c r="I940">
        <f t="shared" si="56"/>
        <v>10</v>
      </c>
      <c r="J940" t="str">
        <f t="shared" si="57"/>
        <v>Oct</v>
      </c>
      <c r="K940">
        <f t="shared" si="58"/>
        <v>1</v>
      </c>
      <c r="L940" t="str">
        <f t="shared" si="59"/>
        <v>Sun</v>
      </c>
    </row>
    <row r="941" spans="1:12" x14ac:dyDescent="0.25">
      <c r="A941" s="1">
        <v>45984</v>
      </c>
      <c r="B941" t="s">
        <v>24</v>
      </c>
      <c r="C941" t="s">
        <v>9</v>
      </c>
      <c r="D941" t="s">
        <v>10</v>
      </c>
      <c r="E941" t="s">
        <v>26</v>
      </c>
      <c r="F941">
        <v>3</v>
      </c>
      <c r="G941">
        <v>883.76</v>
      </c>
      <c r="H941">
        <v>2651.28</v>
      </c>
      <c r="I941">
        <f t="shared" si="56"/>
        <v>11</v>
      </c>
      <c r="J941" t="str">
        <f t="shared" si="57"/>
        <v>Nov</v>
      </c>
      <c r="K941">
        <f t="shared" si="58"/>
        <v>1</v>
      </c>
      <c r="L941" t="str">
        <f t="shared" si="59"/>
        <v>Sun</v>
      </c>
    </row>
    <row r="942" spans="1:12" x14ac:dyDescent="0.25">
      <c r="A942" s="1">
        <v>45671</v>
      </c>
      <c r="B942" t="s">
        <v>12</v>
      </c>
      <c r="C942" t="s">
        <v>21</v>
      </c>
      <c r="D942" t="s">
        <v>19</v>
      </c>
      <c r="E942" t="s">
        <v>26</v>
      </c>
      <c r="F942">
        <v>9</v>
      </c>
      <c r="G942">
        <v>1073.69</v>
      </c>
      <c r="H942">
        <v>9663.2099999999991</v>
      </c>
      <c r="I942">
        <f t="shared" si="56"/>
        <v>1</v>
      </c>
      <c r="J942" t="str">
        <f t="shared" si="57"/>
        <v>Jan</v>
      </c>
      <c r="K942">
        <f t="shared" si="58"/>
        <v>3</v>
      </c>
      <c r="L942" t="str">
        <f t="shared" si="59"/>
        <v>Tue</v>
      </c>
    </row>
    <row r="943" spans="1:12" x14ac:dyDescent="0.25">
      <c r="A943" s="1">
        <v>45801</v>
      </c>
      <c r="B943" t="s">
        <v>23</v>
      </c>
      <c r="C943" t="s">
        <v>21</v>
      </c>
      <c r="D943" t="s">
        <v>10</v>
      </c>
      <c r="E943" t="s">
        <v>11</v>
      </c>
      <c r="F943">
        <v>1</v>
      </c>
      <c r="G943">
        <v>830.92</v>
      </c>
      <c r="H943">
        <v>830.92</v>
      </c>
      <c r="I943">
        <f t="shared" si="56"/>
        <v>5</v>
      </c>
      <c r="J943" t="str">
        <f t="shared" si="57"/>
        <v>May</v>
      </c>
      <c r="K943">
        <f t="shared" si="58"/>
        <v>7</v>
      </c>
      <c r="L943" t="str">
        <f t="shared" si="59"/>
        <v>Sat</v>
      </c>
    </row>
    <row r="944" spans="1:12" x14ac:dyDescent="0.25">
      <c r="A944" s="1">
        <v>45661</v>
      </c>
      <c r="B944" t="s">
        <v>12</v>
      </c>
      <c r="C944" t="s">
        <v>9</v>
      </c>
      <c r="D944" t="s">
        <v>14</v>
      </c>
      <c r="E944" t="s">
        <v>26</v>
      </c>
      <c r="F944">
        <v>4</v>
      </c>
      <c r="G944">
        <v>944.65</v>
      </c>
      <c r="H944">
        <v>3778.6</v>
      </c>
      <c r="I944">
        <f t="shared" si="56"/>
        <v>1</v>
      </c>
      <c r="J944" t="str">
        <f t="shared" si="57"/>
        <v>Jan</v>
      </c>
      <c r="K944">
        <f t="shared" si="58"/>
        <v>7</v>
      </c>
      <c r="L944" t="str">
        <f t="shared" si="59"/>
        <v>Sat</v>
      </c>
    </row>
    <row r="945" spans="1:12" x14ac:dyDescent="0.25">
      <c r="A945" s="1">
        <v>45676</v>
      </c>
      <c r="B945" t="s">
        <v>16</v>
      </c>
      <c r="C945" t="s">
        <v>9</v>
      </c>
      <c r="D945" t="s">
        <v>14</v>
      </c>
      <c r="E945" t="s">
        <v>26</v>
      </c>
      <c r="F945">
        <v>6</v>
      </c>
      <c r="G945">
        <v>2038.04</v>
      </c>
      <c r="H945">
        <v>12228.24</v>
      </c>
      <c r="I945">
        <f t="shared" si="56"/>
        <v>1</v>
      </c>
      <c r="J945" t="str">
        <f t="shared" si="57"/>
        <v>Jan</v>
      </c>
      <c r="K945">
        <f t="shared" si="58"/>
        <v>1</v>
      </c>
      <c r="L945" t="str">
        <f t="shared" si="59"/>
        <v>Sun</v>
      </c>
    </row>
    <row r="946" spans="1:12" x14ac:dyDescent="0.25">
      <c r="A946" s="1">
        <v>45963</v>
      </c>
      <c r="B946" t="s">
        <v>40</v>
      </c>
      <c r="C946" t="s">
        <v>13</v>
      </c>
      <c r="D946" t="s">
        <v>19</v>
      </c>
      <c r="E946" t="s">
        <v>15</v>
      </c>
      <c r="F946">
        <v>2</v>
      </c>
      <c r="G946">
        <v>5085.97</v>
      </c>
      <c r="H946">
        <v>10171.94</v>
      </c>
      <c r="I946">
        <f t="shared" si="56"/>
        <v>11</v>
      </c>
      <c r="J946" t="str">
        <f t="shared" si="57"/>
        <v>Nov</v>
      </c>
      <c r="K946">
        <f t="shared" si="58"/>
        <v>1</v>
      </c>
      <c r="L946" t="str">
        <f t="shared" si="59"/>
        <v>Sun</v>
      </c>
    </row>
    <row r="947" spans="1:12" x14ac:dyDescent="0.25">
      <c r="A947" s="1">
        <v>45795</v>
      </c>
      <c r="B947" t="s">
        <v>24</v>
      </c>
      <c r="C947" t="s">
        <v>21</v>
      </c>
      <c r="D947" t="s">
        <v>17</v>
      </c>
      <c r="E947" t="s">
        <v>18</v>
      </c>
      <c r="F947">
        <v>16</v>
      </c>
      <c r="G947">
        <v>811.47</v>
      </c>
      <c r="H947">
        <v>12983.52</v>
      </c>
      <c r="I947">
        <f t="shared" si="56"/>
        <v>5</v>
      </c>
      <c r="J947" t="str">
        <f t="shared" si="57"/>
        <v>May</v>
      </c>
      <c r="K947">
        <f t="shared" si="58"/>
        <v>1</v>
      </c>
      <c r="L947" t="str">
        <f t="shared" si="59"/>
        <v>Sun</v>
      </c>
    </row>
    <row r="948" spans="1:12" x14ac:dyDescent="0.25">
      <c r="A948" s="1">
        <v>46018</v>
      </c>
      <c r="B948" t="s">
        <v>25</v>
      </c>
      <c r="C948" t="s">
        <v>21</v>
      </c>
      <c r="D948" t="s">
        <v>17</v>
      </c>
      <c r="E948" t="s">
        <v>15</v>
      </c>
      <c r="F948">
        <v>12</v>
      </c>
      <c r="G948">
        <v>3178.7</v>
      </c>
      <c r="H948">
        <v>38144.400000000001</v>
      </c>
      <c r="I948">
        <f t="shared" si="56"/>
        <v>12</v>
      </c>
      <c r="J948" t="str">
        <f t="shared" si="57"/>
        <v>Dec</v>
      </c>
      <c r="K948">
        <f t="shared" si="58"/>
        <v>7</v>
      </c>
      <c r="L948" t="str">
        <f t="shared" si="59"/>
        <v>Sat</v>
      </c>
    </row>
    <row r="949" spans="1:12" x14ac:dyDescent="0.25">
      <c r="A949" s="1">
        <v>45823</v>
      </c>
      <c r="B949" t="s">
        <v>8</v>
      </c>
      <c r="C949" t="s">
        <v>13</v>
      </c>
      <c r="D949" t="s">
        <v>10</v>
      </c>
      <c r="E949" t="s">
        <v>22</v>
      </c>
      <c r="F949">
        <v>1</v>
      </c>
      <c r="G949">
        <v>1361.78</v>
      </c>
      <c r="H949">
        <v>1361.78</v>
      </c>
      <c r="I949">
        <f t="shared" si="56"/>
        <v>6</v>
      </c>
      <c r="J949" t="str">
        <f t="shared" si="57"/>
        <v>Jun</v>
      </c>
      <c r="K949">
        <f t="shared" si="58"/>
        <v>1</v>
      </c>
      <c r="L949" t="str">
        <f t="shared" si="59"/>
        <v>Sun</v>
      </c>
    </row>
    <row r="950" spans="1:12" x14ac:dyDescent="0.25">
      <c r="A950" s="1">
        <v>45950</v>
      </c>
      <c r="B950" t="s">
        <v>25</v>
      </c>
      <c r="C950" t="s">
        <v>9</v>
      </c>
      <c r="D950" t="s">
        <v>19</v>
      </c>
      <c r="E950" t="s">
        <v>27</v>
      </c>
      <c r="F950">
        <v>10</v>
      </c>
      <c r="G950">
        <v>4383.13</v>
      </c>
      <c r="H950">
        <v>43831.3</v>
      </c>
      <c r="I950">
        <f t="shared" si="56"/>
        <v>10</v>
      </c>
      <c r="J950" t="str">
        <f t="shared" si="57"/>
        <v>Oct</v>
      </c>
      <c r="K950">
        <f t="shared" si="58"/>
        <v>2</v>
      </c>
      <c r="L950" t="str">
        <f t="shared" si="59"/>
        <v>Mon</v>
      </c>
    </row>
    <row r="951" spans="1:12" x14ac:dyDescent="0.25">
      <c r="A951" s="1">
        <v>45801</v>
      </c>
      <c r="B951" t="s">
        <v>23</v>
      </c>
      <c r="C951" t="s">
        <v>21</v>
      </c>
      <c r="D951" t="s">
        <v>14</v>
      </c>
      <c r="E951" t="s">
        <v>11</v>
      </c>
      <c r="F951">
        <v>10</v>
      </c>
      <c r="G951">
        <v>882.92</v>
      </c>
      <c r="H951">
        <v>8829.2000000000007</v>
      </c>
      <c r="I951">
        <f t="shared" si="56"/>
        <v>5</v>
      </c>
      <c r="J951" t="str">
        <f t="shared" si="57"/>
        <v>May</v>
      </c>
      <c r="K951">
        <f t="shared" si="58"/>
        <v>7</v>
      </c>
      <c r="L951" t="str">
        <f t="shared" si="59"/>
        <v>Sat</v>
      </c>
    </row>
    <row r="952" spans="1:12" x14ac:dyDescent="0.25">
      <c r="A952" s="1">
        <v>45904</v>
      </c>
      <c r="B952" t="s">
        <v>25</v>
      </c>
      <c r="C952" t="s">
        <v>9</v>
      </c>
      <c r="D952" t="s">
        <v>17</v>
      </c>
      <c r="E952" t="s">
        <v>22</v>
      </c>
      <c r="F952">
        <v>18</v>
      </c>
      <c r="G952">
        <v>2607.2800000000002</v>
      </c>
      <c r="H952">
        <v>46931.040000000001</v>
      </c>
      <c r="I952">
        <f t="shared" si="56"/>
        <v>9</v>
      </c>
      <c r="J952" t="str">
        <f t="shared" si="57"/>
        <v>Sep</v>
      </c>
      <c r="K952">
        <f t="shared" si="58"/>
        <v>5</v>
      </c>
      <c r="L952" t="str">
        <f t="shared" si="59"/>
        <v>Thu</v>
      </c>
    </row>
    <row r="953" spans="1:12" x14ac:dyDescent="0.25">
      <c r="A953" s="1">
        <v>45969</v>
      </c>
      <c r="B953" t="s">
        <v>8</v>
      </c>
      <c r="C953" t="s">
        <v>21</v>
      </c>
      <c r="D953" t="s">
        <v>10</v>
      </c>
      <c r="E953" t="s">
        <v>26</v>
      </c>
      <c r="F953">
        <v>14</v>
      </c>
      <c r="G953">
        <v>1436.14</v>
      </c>
      <c r="H953">
        <v>20105.96</v>
      </c>
      <c r="I953">
        <f t="shared" si="56"/>
        <v>11</v>
      </c>
      <c r="J953" t="str">
        <f t="shared" si="57"/>
        <v>Nov</v>
      </c>
      <c r="K953">
        <f t="shared" si="58"/>
        <v>7</v>
      </c>
      <c r="L953" t="str">
        <f t="shared" si="59"/>
        <v>Sat</v>
      </c>
    </row>
    <row r="954" spans="1:12" x14ac:dyDescent="0.25">
      <c r="A954" s="1">
        <v>45689</v>
      </c>
      <c r="B954" t="s">
        <v>12</v>
      </c>
      <c r="C954" t="s">
        <v>21</v>
      </c>
      <c r="D954" t="s">
        <v>17</v>
      </c>
      <c r="E954" t="s">
        <v>11</v>
      </c>
      <c r="F954">
        <v>2</v>
      </c>
      <c r="G954">
        <v>847.25</v>
      </c>
      <c r="H954">
        <v>1694.5</v>
      </c>
      <c r="I954">
        <f t="shared" si="56"/>
        <v>2</v>
      </c>
      <c r="J954" t="str">
        <f t="shared" si="57"/>
        <v>Feb</v>
      </c>
      <c r="K954">
        <f t="shared" si="58"/>
        <v>7</v>
      </c>
      <c r="L954" t="str">
        <f t="shared" si="59"/>
        <v>Sat</v>
      </c>
    </row>
    <row r="955" spans="1:12" x14ac:dyDescent="0.25">
      <c r="A955" s="1">
        <v>45888</v>
      </c>
      <c r="B955" t="s">
        <v>20</v>
      </c>
      <c r="C955" t="s">
        <v>9</v>
      </c>
      <c r="D955" t="s">
        <v>10</v>
      </c>
      <c r="E955" t="s">
        <v>22</v>
      </c>
      <c r="F955">
        <v>2</v>
      </c>
      <c r="G955">
        <v>1286.17</v>
      </c>
      <c r="H955">
        <v>2572.34</v>
      </c>
      <c r="I955">
        <f t="shared" si="56"/>
        <v>8</v>
      </c>
      <c r="J955" t="str">
        <f t="shared" si="57"/>
        <v>Aug</v>
      </c>
      <c r="K955">
        <f t="shared" si="58"/>
        <v>3</v>
      </c>
      <c r="L955" t="str">
        <f t="shared" si="59"/>
        <v>Tue</v>
      </c>
    </row>
    <row r="956" spans="1:12" x14ac:dyDescent="0.25">
      <c r="A956" s="1">
        <v>45885</v>
      </c>
      <c r="B956" t="s">
        <v>16</v>
      </c>
      <c r="C956" t="s">
        <v>13</v>
      </c>
      <c r="D956" t="s">
        <v>10</v>
      </c>
      <c r="E956" t="s">
        <v>26</v>
      </c>
      <c r="F956">
        <v>18</v>
      </c>
      <c r="G956">
        <v>2248.64</v>
      </c>
      <c r="H956">
        <v>40475.519999999997</v>
      </c>
      <c r="I956">
        <f t="shared" si="56"/>
        <v>8</v>
      </c>
      <c r="J956" t="str">
        <f t="shared" si="57"/>
        <v>Aug</v>
      </c>
      <c r="K956">
        <f t="shared" si="58"/>
        <v>7</v>
      </c>
      <c r="L956" t="str">
        <f t="shared" si="59"/>
        <v>Sat</v>
      </c>
    </row>
    <row r="957" spans="1:12" x14ac:dyDescent="0.25">
      <c r="A957" s="1">
        <v>45744</v>
      </c>
      <c r="B957" t="s">
        <v>41</v>
      </c>
      <c r="C957" t="s">
        <v>9</v>
      </c>
      <c r="D957" t="s">
        <v>14</v>
      </c>
      <c r="E957" t="s">
        <v>18</v>
      </c>
      <c r="F957">
        <v>10</v>
      </c>
      <c r="G957">
        <v>565.53</v>
      </c>
      <c r="H957">
        <v>5655.3</v>
      </c>
      <c r="I957">
        <f t="shared" si="56"/>
        <v>3</v>
      </c>
      <c r="J957" t="str">
        <f t="shared" si="57"/>
        <v>Mar</v>
      </c>
      <c r="K957">
        <f t="shared" si="58"/>
        <v>6</v>
      </c>
      <c r="L957" t="str">
        <f t="shared" si="59"/>
        <v>Fri</v>
      </c>
    </row>
    <row r="958" spans="1:12" x14ac:dyDescent="0.25">
      <c r="A958" s="1">
        <v>45833</v>
      </c>
      <c r="B958" t="s">
        <v>16</v>
      </c>
      <c r="C958" t="s">
        <v>21</v>
      </c>
      <c r="D958" t="s">
        <v>14</v>
      </c>
      <c r="E958" t="s">
        <v>18</v>
      </c>
      <c r="F958">
        <v>1</v>
      </c>
      <c r="G958">
        <v>2651.19</v>
      </c>
      <c r="H958">
        <v>2651.19</v>
      </c>
      <c r="I958">
        <f t="shared" si="56"/>
        <v>6</v>
      </c>
      <c r="J958" t="str">
        <f t="shared" si="57"/>
        <v>Jun</v>
      </c>
      <c r="K958">
        <f t="shared" si="58"/>
        <v>4</v>
      </c>
      <c r="L958" t="str">
        <f t="shared" si="59"/>
        <v>Wed</v>
      </c>
    </row>
    <row r="959" spans="1:12" x14ac:dyDescent="0.25">
      <c r="A959" s="1">
        <v>45952</v>
      </c>
      <c r="B959" t="s">
        <v>40</v>
      </c>
      <c r="C959" t="s">
        <v>21</v>
      </c>
      <c r="D959" t="s">
        <v>10</v>
      </c>
      <c r="E959" t="s">
        <v>26</v>
      </c>
      <c r="F959">
        <v>5</v>
      </c>
      <c r="G959">
        <v>4370.13</v>
      </c>
      <c r="H959">
        <v>21850.65</v>
      </c>
      <c r="I959">
        <f t="shared" si="56"/>
        <v>10</v>
      </c>
      <c r="J959" t="str">
        <f t="shared" si="57"/>
        <v>Oct</v>
      </c>
      <c r="K959">
        <f t="shared" si="58"/>
        <v>4</v>
      </c>
      <c r="L959" t="str">
        <f t="shared" si="59"/>
        <v>Wed</v>
      </c>
    </row>
    <row r="960" spans="1:12" x14ac:dyDescent="0.25">
      <c r="A960" s="1">
        <v>45935</v>
      </c>
      <c r="B960" t="s">
        <v>25</v>
      </c>
      <c r="C960" t="s">
        <v>9</v>
      </c>
      <c r="D960" t="s">
        <v>19</v>
      </c>
      <c r="E960" t="s">
        <v>26</v>
      </c>
      <c r="F960">
        <v>8</v>
      </c>
      <c r="G960">
        <v>2811.02</v>
      </c>
      <c r="H960">
        <v>22488.16</v>
      </c>
      <c r="I960">
        <f t="shared" si="56"/>
        <v>10</v>
      </c>
      <c r="J960" t="str">
        <f t="shared" si="57"/>
        <v>Oct</v>
      </c>
      <c r="K960">
        <f t="shared" si="58"/>
        <v>1</v>
      </c>
      <c r="L960" t="str">
        <f t="shared" si="59"/>
        <v>Sun</v>
      </c>
    </row>
    <row r="961" spans="1:12" x14ac:dyDescent="0.25">
      <c r="A961" s="1">
        <v>45768</v>
      </c>
      <c r="B961" t="s">
        <v>24</v>
      </c>
      <c r="C961" t="s">
        <v>21</v>
      </c>
      <c r="D961" t="s">
        <v>14</v>
      </c>
      <c r="E961" t="s">
        <v>15</v>
      </c>
      <c r="F961">
        <v>19</v>
      </c>
      <c r="G961">
        <v>905.97</v>
      </c>
      <c r="H961">
        <v>17213.43</v>
      </c>
      <c r="I961">
        <f t="shared" si="56"/>
        <v>4</v>
      </c>
      <c r="J961" t="str">
        <f t="shared" si="57"/>
        <v>Apr</v>
      </c>
      <c r="K961">
        <f t="shared" si="58"/>
        <v>2</v>
      </c>
      <c r="L961" t="str">
        <f t="shared" si="59"/>
        <v>Mon</v>
      </c>
    </row>
    <row r="962" spans="1:12" x14ac:dyDescent="0.25">
      <c r="A962" s="1">
        <v>45746</v>
      </c>
      <c r="B962" t="s">
        <v>41</v>
      </c>
      <c r="C962" t="s">
        <v>13</v>
      </c>
      <c r="D962" t="s">
        <v>14</v>
      </c>
      <c r="E962" t="s">
        <v>26</v>
      </c>
      <c r="F962">
        <v>12</v>
      </c>
      <c r="G962">
        <v>746.24</v>
      </c>
      <c r="H962">
        <v>8954.8799999999992</v>
      </c>
      <c r="I962">
        <f t="shared" ref="I962:I1001" si="60">MONTH(A962)</f>
        <v>3</v>
      </c>
      <c r="J962" t="str">
        <f t="shared" ref="J962:J1001" si="61">TEXT(A962,"MMM")</f>
        <v>Mar</v>
      </c>
      <c r="K962">
        <f t="shared" ref="K962:K1001" si="62">WEEKDAY(A962,1)</f>
        <v>1</v>
      </c>
      <c r="L962" t="str">
        <f t="shared" ref="L962:L1001" si="63">TEXT(K962,"DDD")</f>
        <v>Sun</v>
      </c>
    </row>
    <row r="963" spans="1:12" x14ac:dyDescent="0.25">
      <c r="A963" s="1">
        <v>45764</v>
      </c>
      <c r="B963" t="s">
        <v>16</v>
      </c>
      <c r="C963" t="s">
        <v>9</v>
      </c>
      <c r="D963" t="s">
        <v>17</v>
      </c>
      <c r="E963" t="s">
        <v>18</v>
      </c>
      <c r="F963">
        <v>2</v>
      </c>
      <c r="G963">
        <v>1765.83</v>
      </c>
      <c r="H963">
        <v>3531.66</v>
      </c>
      <c r="I963">
        <f t="shared" si="60"/>
        <v>4</v>
      </c>
      <c r="J963" t="str">
        <f t="shared" si="61"/>
        <v>Apr</v>
      </c>
      <c r="K963">
        <f t="shared" si="62"/>
        <v>5</v>
      </c>
      <c r="L963" t="str">
        <f t="shared" si="63"/>
        <v>Thu</v>
      </c>
    </row>
    <row r="964" spans="1:12" x14ac:dyDescent="0.25">
      <c r="A964" s="1">
        <v>45938</v>
      </c>
      <c r="B964" t="s">
        <v>12</v>
      </c>
      <c r="C964" t="s">
        <v>13</v>
      </c>
      <c r="D964" t="s">
        <v>19</v>
      </c>
      <c r="E964" t="s">
        <v>27</v>
      </c>
      <c r="F964">
        <v>9</v>
      </c>
      <c r="G964">
        <v>849.46</v>
      </c>
      <c r="H964">
        <v>7645.14</v>
      </c>
      <c r="I964">
        <f t="shared" si="60"/>
        <v>10</v>
      </c>
      <c r="J964" t="str">
        <f t="shared" si="61"/>
        <v>Oct</v>
      </c>
      <c r="K964">
        <f t="shared" si="62"/>
        <v>4</v>
      </c>
      <c r="L964" t="str">
        <f t="shared" si="63"/>
        <v>Wed</v>
      </c>
    </row>
    <row r="965" spans="1:12" x14ac:dyDescent="0.25">
      <c r="A965" s="1">
        <v>45662</v>
      </c>
      <c r="B965" t="s">
        <v>12</v>
      </c>
      <c r="C965" t="s">
        <v>9</v>
      </c>
      <c r="D965" t="s">
        <v>17</v>
      </c>
      <c r="E965" t="s">
        <v>15</v>
      </c>
      <c r="F965">
        <v>14</v>
      </c>
      <c r="G965">
        <v>797.23</v>
      </c>
      <c r="H965">
        <v>11161.22</v>
      </c>
      <c r="I965">
        <f t="shared" si="60"/>
        <v>1</v>
      </c>
      <c r="J965" t="str">
        <f t="shared" si="61"/>
        <v>Jan</v>
      </c>
      <c r="K965">
        <f t="shared" si="62"/>
        <v>1</v>
      </c>
      <c r="L965" t="str">
        <f t="shared" si="63"/>
        <v>Sun</v>
      </c>
    </row>
    <row r="966" spans="1:12" x14ac:dyDescent="0.25">
      <c r="A966" s="1">
        <v>46018</v>
      </c>
      <c r="B966" t="s">
        <v>41</v>
      </c>
      <c r="C966" t="s">
        <v>13</v>
      </c>
      <c r="D966" t="s">
        <v>10</v>
      </c>
      <c r="E966" t="s">
        <v>18</v>
      </c>
      <c r="F966">
        <v>3</v>
      </c>
      <c r="G966">
        <v>528.35</v>
      </c>
      <c r="H966">
        <v>1585.05</v>
      </c>
      <c r="I966">
        <f t="shared" si="60"/>
        <v>12</v>
      </c>
      <c r="J966" t="str">
        <f t="shared" si="61"/>
        <v>Dec</v>
      </c>
      <c r="K966">
        <f t="shared" si="62"/>
        <v>7</v>
      </c>
      <c r="L966" t="str">
        <f t="shared" si="63"/>
        <v>Sat</v>
      </c>
    </row>
    <row r="967" spans="1:12" x14ac:dyDescent="0.25">
      <c r="A967" s="1">
        <v>45896</v>
      </c>
      <c r="B967" t="s">
        <v>8</v>
      </c>
      <c r="C967" t="s">
        <v>9</v>
      </c>
      <c r="D967" t="s">
        <v>14</v>
      </c>
      <c r="E967" t="s">
        <v>18</v>
      </c>
      <c r="F967">
        <v>4</v>
      </c>
      <c r="G967">
        <v>1002.57</v>
      </c>
      <c r="H967">
        <v>4010.28</v>
      </c>
      <c r="I967">
        <f t="shared" si="60"/>
        <v>8</v>
      </c>
      <c r="J967" t="str">
        <f t="shared" si="61"/>
        <v>Aug</v>
      </c>
      <c r="K967">
        <f t="shared" si="62"/>
        <v>4</v>
      </c>
      <c r="L967" t="str">
        <f t="shared" si="63"/>
        <v>Wed</v>
      </c>
    </row>
    <row r="968" spans="1:12" x14ac:dyDescent="0.25">
      <c r="A968" s="1">
        <v>45683</v>
      </c>
      <c r="B968" t="s">
        <v>24</v>
      </c>
      <c r="C968" t="s">
        <v>13</v>
      </c>
      <c r="D968" t="s">
        <v>17</v>
      </c>
      <c r="E968" t="s">
        <v>15</v>
      </c>
      <c r="F968">
        <v>16</v>
      </c>
      <c r="G968">
        <v>851.52</v>
      </c>
      <c r="H968">
        <v>13624.32</v>
      </c>
      <c r="I968">
        <f t="shared" si="60"/>
        <v>1</v>
      </c>
      <c r="J968" t="str">
        <f t="shared" si="61"/>
        <v>Jan</v>
      </c>
      <c r="K968">
        <f t="shared" si="62"/>
        <v>1</v>
      </c>
      <c r="L968" t="str">
        <f t="shared" si="63"/>
        <v>Sun</v>
      </c>
    </row>
    <row r="969" spans="1:12" x14ac:dyDescent="0.25">
      <c r="A969" s="1">
        <v>45875</v>
      </c>
      <c r="B969" t="s">
        <v>20</v>
      </c>
      <c r="C969" t="s">
        <v>9</v>
      </c>
      <c r="D969" t="s">
        <v>10</v>
      </c>
      <c r="E969" t="s">
        <v>11</v>
      </c>
      <c r="F969">
        <v>16</v>
      </c>
      <c r="G969">
        <v>1357.68</v>
      </c>
      <c r="H969">
        <v>21722.880000000001</v>
      </c>
      <c r="I969">
        <f t="shared" si="60"/>
        <v>8</v>
      </c>
      <c r="J969" t="str">
        <f t="shared" si="61"/>
        <v>Aug</v>
      </c>
      <c r="K969">
        <f t="shared" si="62"/>
        <v>4</v>
      </c>
      <c r="L969" t="str">
        <f t="shared" si="63"/>
        <v>Wed</v>
      </c>
    </row>
    <row r="970" spans="1:12" x14ac:dyDescent="0.25">
      <c r="A970" s="1">
        <v>45911</v>
      </c>
      <c r="B970" t="s">
        <v>8</v>
      </c>
      <c r="C970" t="s">
        <v>13</v>
      </c>
      <c r="D970" t="s">
        <v>17</v>
      </c>
      <c r="E970" t="s">
        <v>26</v>
      </c>
      <c r="F970">
        <v>12</v>
      </c>
      <c r="G970">
        <v>1160.99</v>
      </c>
      <c r="H970">
        <v>13931.88</v>
      </c>
      <c r="I970">
        <f t="shared" si="60"/>
        <v>9</v>
      </c>
      <c r="J970" t="str">
        <f t="shared" si="61"/>
        <v>Sep</v>
      </c>
      <c r="K970">
        <f t="shared" si="62"/>
        <v>5</v>
      </c>
      <c r="L970" t="str">
        <f t="shared" si="63"/>
        <v>Thu</v>
      </c>
    </row>
    <row r="971" spans="1:12" x14ac:dyDescent="0.25">
      <c r="A971" s="1">
        <v>46013</v>
      </c>
      <c r="B971" t="s">
        <v>39</v>
      </c>
      <c r="C971" t="s">
        <v>9</v>
      </c>
      <c r="D971" t="s">
        <v>19</v>
      </c>
      <c r="E971" t="s">
        <v>15</v>
      </c>
      <c r="F971">
        <v>3</v>
      </c>
      <c r="G971">
        <v>11703.26</v>
      </c>
      <c r="H971">
        <v>35109.78</v>
      </c>
      <c r="I971">
        <f t="shared" si="60"/>
        <v>12</v>
      </c>
      <c r="J971" t="str">
        <f t="shared" si="61"/>
        <v>Dec</v>
      </c>
      <c r="K971">
        <f t="shared" si="62"/>
        <v>2</v>
      </c>
      <c r="L971" t="str">
        <f t="shared" si="63"/>
        <v>Mon</v>
      </c>
    </row>
    <row r="972" spans="1:12" x14ac:dyDescent="0.25">
      <c r="A972" s="1">
        <v>45882</v>
      </c>
      <c r="B972" t="s">
        <v>20</v>
      </c>
      <c r="C972" t="s">
        <v>21</v>
      </c>
      <c r="D972" t="s">
        <v>17</v>
      </c>
      <c r="E972" t="s">
        <v>26</v>
      </c>
      <c r="F972">
        <v>14</v>
      </c>
      <c r="G972">
        <v>1139.31</v>
      </c>
      <c r="H972">
        <v>15950.34</v>
      </c>
      <c r="I972">
        <f t="shared" si="60"/>
        <v>8</v>
      </c>
      <c r="J972" t="str">
        <f t="shared" si="61"/>
        <v>Aug</v>
      </c>
      <c r="K972">
        <f t="shared" si="62"/>
        <v>4</v>
      </c>
      <c r="L972" t="str">
        <f t="shared" si="63"/>
        <v>Wed</v>
      </c>
    </row>
    <row r="973" spans="1:12" x14ac:dyDescent="0.25">
      <c r="A973" s="1">
        <v>45980</v>
      </c>
      <c r="B973" t="s">
        <v>24</v>
      </c>
      <c r="C973" t="s">
        <v>9</v>
      </c>
      <c r="D973" t="s">
        <v>10</v>
      </c>
      <c r="E973" t="s">
        <v>22</v>
      </c>
      <c r="F973">
        <v>8</v>
      </c>
      <c r="G973">
        <v>1254.2</v>
      </c>
      <c r="H973">
        <v>10033.6</v>
      </c>
      <c r="I973">
        <f t="shared" si="60"/>
        <v>11</v>
      </c>
      <c r="J973" t="str">
        <f t="shared" si="61"/>
        <v>Nov</v>
      </c>
      <c r="K973">
        <f t="shared" si="62"/>
        <v>4</v>
      </c>
      <c r="L973" t="str">
        <f t="shared" si="63"/>
        <v>Wed</v>
      </c>
    </row>
    <row r="974" spans="1:12" x14ac:dyDescent="0.25">
      <c r="A974" s="1">
        <v>45963</v>
      </c>
      <c r="B974" t="s">
        <v>12</v>
      </c>
      <c r="C974" t="s">
        <v>13</v>
      </c>
      <c r="D974" t="s">
        <v>17</v>
      </c>
      <c r="E974" t="s">
        <v>15</v>
      </c>
      <c r="F974">
        <v>19</v>
      </c>
      <c r="G974">
        <v>760.82</v>
      </c>
      <c r="H974">
        <v>14455.58</v>
      </c>
      <c r="I974">
        <f t="shared" si="60"/>
        <v>11</v>
      </c>
      <c r="J974" t="str">
        <f t="shared" si="61"/>
        <v>Nov</v>
      </c>
      <c r="K974">
        <f t="shared" si="62"/>
        <v>1</v>
      </c>
      <c r="L974" t="str">
        <f t="shared" si="63"/>
        <v>Sun</v>
      </c>
    </row>
    <row r="975" spans="1:12" x14ac:dyDescent="0.25">
      <c r="A975" s="1">
        <v>45667</v>
      </c>
      <c r="B975" t="s">
        <v>25</v>
      </c>
      <c r="C975" t="s">
        <v>13</v>
      </c>
      <c r="D975" t="s">
        <v>14</v>
      </c>
      <c r="E975" t="s">
        <v>18</v>
      </c>
      <c r="F975">
        <v>12</v>
      </c>
      <c r="G975">
        <v>2951.93</v>
      </c>
      <c r="H975">
        <v>35423.160000000003</v>
      </c>
      <c r="I975">
        <f t="shared" si="60"/>
        <v>1</v>
      </c>
      <c r="J975" t="str">
        <f t="shared" si="61"/>
        <v>Jan</v>
      </c>
      <c r="K975">
        <f t="shared" si="62"/>
        <v>6</v>
      </c>
      <c r="L975" t="str">
        <f t="shared" si="63"/>
        <v>Fri</v>
      </c>
    </row>
    <row r="976" spans="1:12" x14ac:dyDescent="0.25">
      <c r="A976" s="1">
        <v>45757</v>
      </c>
      <c r="B976" t="s">
        <v>23</v>
      </c>
      <c r="C976" t="s">
        <v>9</v>
      </c>
      <c r="D976" t="s">
        <v>17</v>
      </c>
      <c r="E976" t="s">
        <v>15</v>
      </c>
      <c r="F976">
        <v>18</v>
      </c>
      <c r="G976">
        <v>915.62</v>
      </c>
      <c r="H976">
        <v>16481.16</v>
      </c>
      <c r="I976">
        <f t="shared" si="60"/>
        <v>4</v>
      </c>
      <c r="J976" t="str">
        <f t="shared" si="61"/>
        <v>Apr</v>
      </c>
      <c r="K976">
        <f t="shared" si="62"/>
        <v>5</v>
      </c>
      <c r="L976" t="str">
        <f t="shared" si="63"/>
        <v>Thu</v>
      </c>
    </row>
    <row r="977" spans="1:12" x14ac:dyDescent="0.25">
      <c r="A977" s="1">
        <v>45719</v>
      </c>
      <c r="B977" t="s">
        <v>40</v>
      </c>
      <c r="C977" t="s">
        <v>13</v>
      </c>
      <c r="D977" t="s">
        <v>14</v>
      </c>
      <c r="E977" t="s">
        <v>18</v>
      </c>
      <c r="F977">
        <v>14</v>
      </c>
      <c r="G977">
        <v>4681.2700000000004</v>
      </c>
      <c r="H977">
        <v>65537.78</v>
      </c>
      <c r="I977">
        <f t="shared" si="60"/>
        <v>3</v>
      </c>
      <c r="J977" t="str">
        <f t="shared" si="61"/>
        <v>Mar</v>
      </c>
      <c r="K977">
        <f t="shared" si="62"/>
        <v>2</v>
      </c>
      <c r="L977" t="str">
        <f t="shared" si="63"/>
        <v>Mon</v>
      </c>
    </row>
    <row r="978" spans="1:12" x14ac:dyDescent="0.25">
      <c r="A978" s="1">
        <v>45911</v>
      </c>
      <c r="B978" t="s">
        <v>16</v>
      </c>
      <c r="C978" t="s">
        <v>13</v>
      </c>
      <c r="D978" t="s">
        <v>19</v>
      </c>
      <c r="E978" t="s">
        <v>26</v>
      </c>
      <c r="F978">
        <v>16</v>
      </c>
      <c r="G978">
        <v>1837.69</v>
      </c>
      <c r="H978">
        <v>29403.040000000001</v>
      </c>
      <c r="I978">
        <f t="shared" si="60"/>
        <v>9</v>
      </c>
      <c r="J978" t="str">
        <f t="shared" si="61"/>
        <v>Sep</v>
      </c>
      <c r="K978">
        <f t="shared" si="62"/>
        <v>5</v>
      </c>
      <c r="L978" t="str">
        <f t="shared" si="63"/>
        <v>Thu</v>
      </c>
    </row>
    <row r="979" spans="1:12" x14ac:dyDescent="0.25">
      <c r="A979" s="1">
        <v>45725</v>
      </c>
      <c r="B979" t="s">
        <v>16</v>
      </c>
      <c r="C979" t="s">
        <v>21</v>
      </c>
      <c r="D979" t="s">
        <v>17</v>
      </c>
      <c r="E979" t="s">
        <v>26</v>
      </c>
      <c r="F979">
        <v>17</v>
      </c>
      <c r="G979">
        <v>2349.9699999999998</v>
      </c>
      <c r="H979">
        <v>39949.49</v>
      </c>
      <c r="I979">
        <f t="shared" si="60"/>
        <v>3</v>
      </c>
      <c r="J979" t="str">
        <f t="shared" si="61"/>
        <v>Mar</v>
      </c>
      <c r="K979">
        <f t="shared" si="62"/>
        <v>1</v>
      </c>
      <c r="L979" t="str">
        <f t="shared" si="63"/>
        <v>Sun</v>
      </c>
    </row>
    <row r="980" spans="1:12" x14ac:dyDescent="0.25">
      <c r="A980" s="1">
        <v>46003</v>
      </c>
      <c r="B980" t="s">
        <v>41</v>
      </c>
      <c r="C980" t="s">
        <v>13</v>
      </c>
      <c r="D980" t="s">
        <v>14</v>
      </c>
      <c r="E980" t="s">
        <v>26</v>
      </c>
      <c r="F980">
        <v>7</v>
      </c>
      <c r="G980">
        <v>426</v>
      </c>
      <c r="H980">
        <v>2982</v>
      </c>
      <c r="I980">
        <f t="shared" si="60"/>
        <v>12</v>
      </c>
      <c r="J980" t="str">
        <f t="shared" si="61"/>
        <v>Dec</v>
      </c>
      <c r="K980">
        <f t="shared" si="62"/>
        <v>6</v>
      </c>
      <c r="L980" t="str">
        <f t="shared" si="63"/>
        <v>Fri</v>
      </c>
    </row>
    <row r="981" spans="1:12" x14ac:dyDescent="0.25">
      <c r="A981" s="1">
        <v>45950</v>
      </c>
      <c r="B981" t="s">
        <v>20</v>
      </c>
      <c r="C981" t="s">
        <v>21</v>
      </c>
      <c r="D981" t="s">
        <v>19</v>
      </c>
      <c r="E981" t="s">
        <v>15</v>
      </c>
      <c r="F981">
        <v>9</v>
      </c>
      <c r="G981">
        <v>1576.77</v>
      </c>
      <c r="H981">
        <v>14190.93</v>
      </c>
      <c r="I981">
        <f t="shared" si="60"/>
        <v>10</v>
      </c>
      <c r="J981" t="str">
        <f t="shared" si="61"/>
        <v>Oct</v>
      </c>
      <c r="K981">
        <f t="shared" si="62"/>
        <v>2</v>
      </c>
      <c r="L981" t="str">
        <f t="shared" si="63"/>
        <v>Mon</v>
      </c>
    </row>
    <row r="982" spans="1:12" x14ac:dyDescent="0.25">
      <c r="A982" s="1">
        <v>45871</v>
      </c>
      <c r="B982" t="s">
        <v>16</v>
      </c>
      <c r="C982" t="s">
        <v>9</v>
      </c>
      <c r="D982" t="s">
        <v>19</v>
      </c>
      <c r="E982" t="s">
        <v>11</v>
      </c>
      <c r="F982">
        <v>11</v>
      </c>
      <c r="G982">
        <v>2502.92</v>
      </c>
      <c r="H982">
        <v>27532.12</v>
      </c>
      <c r="I982">
        <f t="shared" si="60"/>
        <v>8</v>
      </c>
      <c r="J982" t="str">
        <f t="shared" si="61"/>
        <v>Aug</v>
      </c>
      <c r="K982">
        <f t="shared" si="62"/>
        <v>7</v>
      </c>
      <c r="L982" t="str">
        <f t="shared" si="63"/>
        <v>Sat</v>
      </c>
    </row>
    <row r="983" spans="1:12" x14ac:dyDescent="0.25">
      <c r="A983" s="1">
        <v>45872</v>
      </c>
      <c r="B983" t="s">
        <v>39</v>
      </c>
      <c r="C983" t="s">
        <v>21</v>
      </c>
      <c r="D983" t="s">
        <v>19</v>
      </c>
      <c r="E983" t="s">
        <v>15</v>
      </c>
      <c r="F983">
        <v>15</v>
      </c>
      <c r="G983">
        <v>16956.259999999998</v>
      </c>
      <c r="H983">
        <v>254343.9</v>
      </c>
      <c r="I983">
        <f t="shared" si="60"/>
        <v>8</v>
      </c>
      <c r="J983" t="str">
        <f t="shared" si="61"/>
        <v>Aug</v>
      </c>
      <c r="K983">
        <f t="shared" si="62"/>
        <v>1</v>
      </c>
      <c r="L983" t="str">
        <f t="shared" si="63"/>
        <v>Sun</v>
      </c>
    </row>
    <row r="984" spans="1:12" x14ac:dyDescent="0.25">
      <c r="A984" s="1">
        <v>45684</v>
      </c>
      <c r="B984" t="s">
        <v>8</v>
      </c>
      <c r="C984" t="s">
        <v>21</v>
      </c>
      <c r="D984" t="s">
        <v>19</v>
      </c>
      <c r="E984" t="s">
        <v>27</v>
      </c>
      <c r="F984">
        <v>3</v>
      </c>
      <c r="G984">
        <v>1341.96</v>
      </c>
      <c r="H984">
        <v>4025.88</v>
      </c>
      <c r="I984">
        <f t="shared" si="60"/>
        <v>1</v>
      </c>
      <c r="J984" t="str">
        <f t="shared" si="61"/>
        <v>Jan</v>
      </c>
      <c r="K984">
        <f t="shared" si="62"/>
        <v>2</v>
      </c>
      <c r="L984" t="str">
        <f t="shared" si="63"/>
        <v>Mon</v>
      </c>
    </row>
    <row r="985" spans="1:12" x14ac:dyDescent="0.25">
      <c r="A985" s="1">
        <v>45998</v>
      </c>
      <c r="B985" t="s">
        <v>16</v>
      </c>
      <c r="C985" t="s">
        <v>9</v>
      </c>
      <c r="D985" t="s">
        <v>14</v>
      </c>
      <c r="E985" t="s">
        <v>18</v>
      </c>
      <c r="F985">
        <v>17</v>
      </c>
      <c r="G985">
        <v>1916.73</v>
      </c>
      <c r="H985">
        <v>32584.41</v>
      </c>
      <c r="I985">
        <f t="shared" si="60"/>
        <v>12</v>
      </c>
      <c r="J985" t="str">
        <f t="shared" si="61"/>
        <v>Dec</v>
      </c>
      <c r="K985">
        <f t="shared" si="62"/>
        <v>1</v>
      </c>
      <c r="L985" t="str">
        <f t="shared" si="63"/>
        <v>Sun</v>
      </c>
    </row>
    <row r="986" spans="1:12" x14ac:dyDescent="0.25">
      <c r="A986" s="1">
        <v>45968</v>
      </c>
      <c r="B986" t="s">
        <v>8</v>
      </c>
      <c r="C986" t="s">
        <v>13</v>
      </c>
      <c r="D986" t="s">
        <v>19</v>
      </c>
      <c r="E986" t="s">
        <v>26</v>
      </c>
      <c r="F986">
        <v>15</v>
      </c>
      <c r="G986">
        <v>1432.35</v>
      </c>
      <c r="H986">
        <v>21485.25</v>
      </c>
      <c r="I986">
        <f t="shared" si="60"/>
        <v>11</v>
      </c>
      <c r="J986" t="str">
        <f t="shared" si="61"/>
        <v>Nov</v>
      </c>
      <c r="K986">
        <f t="shared" si="62"/>
        <v>6</v>
      </c>
      <c r="L986" t="str">
        <f t="shared" si="63"/>
        <v>Fri</v>
      </c>
    </row>
    <row r="987" spans="1:12" x14ac:dyDescent="0.25">
      <c r="A987" s="1">
        <v>45673</v>
      </c>
      <c r="B987" t="s">
        <v>24</v>
      </c>
      <c r="C987" t="s">
        <v>9</v>
      </c>
      <c r="D987" t="s">
        <v>10</v>
      </c>
      <c r="E987" t="s">
        <v>22</v>
      </c>
      <c r="F987">
        <v>18</v>
      </c>
      <c r="G987">
        <v>1203.67</v>
      </c>
      <c r="H987">
        <v>21666.06</v>
      </c>
      <c r="I987">
        <f t="shared" si="60"/>
        <v>1</v>
      </c>
      <c r="J987" t="str">
        <f t="shared" si="61"/>
        <v>Jan</v>
      </c>
      <c r="K987">
        <f t="shared" si="62"/>
        <v>5</v>
      </c>
      <c r="L987" t="str">
        <f t="shared" si="63"/>
        <v>Thu</v>
      </c>
    </row>
    <row r="988" spans="1:12" x14ac:dyDescent="0.25">
      <c r="A988" s="1">
        <v>45702</v>
      </c>
      <c r="B988" t="s">
        <v>16</v>
      </c>
      <c r="C988" t="s">
        <v>21</v>
      </c>
      <c r="D988" t="s">
        <v>14</v>
      </c>
      <c r="E988" t="s">
        <v>18</v>
      </c>
      <c r="F988">
        <v>4</v>
      </c>
      <c r="G988">
        <v>2823.07</v>
      </c>
      <c r="H988">
        <v>11292.28</v>
      </c>
      <c r="I988">
        <f t="shared" si="60"/>
        <v>2</v>
      </c>
      <c r="J988" t="str">
        <f t="shared" si="61"/>
        <v>Feb</v>
      </c>
      <c r="K988">
        <f t="shared" si="62"/>
        <v>6</v>
      </c>
      <c r="L988" t="str">
        <f t="shared" si="63"/>
        <v>Fri</v>
      </c>
    </row>
    <row r="989" spans="1:12" x14ac:dyDescent="0.25">
      <c r="A989" s="1">
        <v>45676</v>
      </c>
      <c r="B989" t="s">
        <v>20</v>
      </c>
      <c r="C989" t="s">
        <v>9</v>
      </c>
      <c r="D989" t="s">
        <v>19</v>
      </c>
      <c r="E989" t="s">
        <v>15</v>
      </c>
      <c r="F989">
        <v>4</v>
      </c>
      <c r="G989">
        <v>1388.27</v>
      </c>
      <c r="H989">
        <v>5553.08</v>
      </c>
      <c r="I989">
        <f t="shared" si="60"/>
        <v>1</v>
      </c>
      <c r="J989" t="str">
        <f t="shared" si="61"/>
        <v>Jan</v>
      </c>
      <c r="K989">
        <f t="shared" si="62"/>
        <v>1</v>
      </c>
      <c r="L989" t="str">
        <f t="shared" si="63"/>
        <v>Sun</v>
      </c>
    </row>
    <row r="990" spans="1:12" x14ac:dyDescent="0.25">
      <c r="A990" s="1">
        <v>45850</v>
      </c>
      <c r="B990" t="s">
        <v>24</v>
      </c>
      <c r="C990" t="s">
        <v>13</v>
      </c>
      <c r="D990" t="s">
        <v>14</v>
      </c>
      <c r="E990" t="s">
        <v>26</v>
      </c>
      <c r="F990">
        <v>9</v>
      </c>
      <c r="G990">
        <v>807.5</v>
      </c>
      <c r="H990">
        <v>7267.5</v>
      </c>
      <c r="I990">
        <f t="shared" si="60"/>
        <v>7</v>
      </c>
      <c r="J990" t="str">
        <f t="shared" si="61"/>
        <v>Jul</v>
      </c>
      <c r="K990">
        <f t="shared" si="62"/>
        <v>7</v>
      </c>
      <c r="L990" t="str">
        <f t="shared" si="63"/>
        <v>Sat</v>
      </c>
    </row>
    <row r="991" spans="1:12" x14ac:dyDescent="0.25">
      <c r="A991" s="1">
        <v>45667</v>
      </c>
      <c r="B991" t="s">
        <v>25</v>
      </c>
      <c r="C991" t="s">
        <v>13</v>
      </c>
      <c r="D991" t="s">
        <v>19</v>
      </c>
      <c r="E991" t="s">
        <v>11</v>
      </c>
      <c r="F991">
        <v>8</v>
      </c>
      <c r="G991">
        <v>2711.76</v>
      </c>
      <c r="H991">
        <v>21694.080000000002</v>
      </c>
      <c r="I991">
        <f t="shared" si="60"/>
        <v>1</v>
      </c>
      <c r="J991" t="str">
        <f t="shared" si="61"/>
        <v>Jan</v>
      </c>
      <c r="K991">
        <f t="shared" si="62"/>
        <v>6</v>
      </c>
      <c r="L991" t="str">
        <f t="shared" si="63"/>
        <v>Fri</v>
      </c>
    </row>
    <row r="992" spans="1:12" x14ac:dyDescent="0.25">
      <c r="A992" s="1">
        <v>45887</v>
      </c>
      <c r="B992" t="s">
        <v>24</v>
      </c>
      <c r="C992" t="s">
        <v>21</v>
      </c>
      <c r="D992" t="s">
        <v>17</v>
      </c>
      <c r="E992" t="s">
        <v>22</v>
      </c>
      <c r="F992">
        <v>9</v>
      </c>
      <c r="G992">
        <v>728.24</v>
      </c>
      <c r="H992">
        <v>6554.16</v>
      </c>
      <c r="I992">
        <f t="shared" si="60"/>
        <v>8</v>
      </c>
      <c r="J992" t="str">
        <f t="shared" si="61"/>
        <v>Aug</v>
      </c>
      <c r="K992">
        <f t="shared" si="62"/>
        <v>2</v>
      </c>
      <c r="L992" t="str">
        <f t="shared" si="63"/>
        <v>Mon</v>
      </c>
    </row>
    <row r="993" spans="1:12" x14ac:dyDescent="0.25">
      <c r="A993" s="1">
        <v>45715</v>
      </c>
      <c r="B993" t="s">
        <v>40</v>
      </c>
      <c r="C993" t="s">
        <v>21</v>
      </c>
      <c r="D993" t="s">
        <v>10</v>
      </c>
      <c r="E993" t="s">
        <v>18</v>
      </c>
      <c r="F993">
        <v>8</v>
      </c>
      <c r="G993">
        <v>4785.0600000000004</v>
      </c>
      <c r="H993">
        <v>38280.480000000003</v>
      </c>
      <c r="I993">
        <f t="shared" si="60"/>
        <v>2</v>
      </c>
      <c r="J993" t="str">
        <f t="shared" si="61"/>
        <v>Feb</v>
      </c>
      <c r="K993">
        <f t="shared" si="62"/>
        <v>5</v>
      </c>
      <c r="L993" t="str">
        <f t="shared" si="63"/>
        <v>Thu</v>
      </c>
    </row>
    <row r="994" spans="1:12" x14ac:dyDescent="0.25">
      <c r="A994" s="1">
        <v>45719</v>
      </c>
      <c r="B994" t="s">
        <v>23</v>
      </c>
      <c r="C994" t="s">
        <v>21</v>
      </c>
      <c r="D994" t="s">
        <v>17</v>
      </c>
      <c r="E994" t="s">
        <v>15</v>
      </c>
      <c r="F994">
        <v>14</v>
      </c>
      <c r="G994">
        <v>852.56</v>
      </c>
      <c r="H994">
        <v>11935.84</v>
      </c>
      <c r="I994">
        <f t="shared" si="60"/>
        <v>3</v>
      </c>
      <c r="J994" t="str">
        <f t="shared" si="61"/>
        <v>Mar</v>
      </c>
      <c r="K994">
        <f t="shared" si="62"/>
        <v>2</v>
      </c>
      <c r="L994" t="str">
        <f t="shared" si="63"/>
        <v>Mon</v>
      </c>
    </row>
    <row r="995" spans="1:12" x14ac:dyDescent="0.25">
      <c r="A995" s="1">
        <v>45877</v>
      </c>
      <c r="B995" t="s">
        <v>39</v>
      </c>
      <c r="C995" t="s">
        <v>21</v>
      </c>
      <c r="D995" t="s">
        <v>19</v>
      </c>
      <c r="E995" t="s">
        <v>26</v>
      </c>
      <c r="F995">
        <v>6</v>
      </c>
      <c r="G995">
        <v>18679.79</v>
      </c>
      <c r="H995">
        <v>112078.74</v>
      </c>
      <c r="I995">
        <f t="shared" si="60"/>
        <v>8</v>
      </c>
      <c r="J995" t="str">
        <f t="shared" si="61"/>
        <v>Aug</v>
      </c>
      <c r="K995">
        <f t="shared" si="62"/>
        <v>6</v>
      </c>
      <c r="L995" t="str">
        <f t="shared" si="63"/>
        <v>Fri</v>
      </c>
    </row>
    <row r="996" spans="1:12" x14ac:dyDescent="0.25">
      <c r="A996" s="1">
        <v>45727</v>
      </c>
      <c r="B996" t="s">
        <v>12</v>
      </c>
      <c r="C996" t="s">
        <v>13</v>
      </c>
      <c r="D996" t="s">
        <v>17</v>
      </c>
      <c r="E996" t="s">
        <v>18</v>
      </c>
      <c r="F996">
        <v>16</v>
      </c>
      <c r="G996">
        <v>1149.51</v>
      </c>
      <c r="H996">
        <v>18392.16</v>
      </c>
      <c r="I996">
        <f t="shared" si="60"/>
        <v>3</v>
      </c>
      <c r="J996" t="str">
        <f t="shared" si="61"/>
        <v>Mar</v>
      </c>
      <c r="K996">
        <f t="shared" si="62"/>
        <v>3</v>
      </c>
      <c r="L996" t="str">
        <f t="shared" si="63"/>
        <v>Tue</v>
      </c>
    </row>
    <row r="997" spans="1:12" x14ac:dyDescent="0.25">
      <c r="A997" s="1">
        <v>45838</v>
      </c>
      <c r="B997" t="s">
        <v>40</v>
      </c>
      <c r="C997" t="s">
        <v>9</v>
      </c>
      <c r="D997" t="s">
        <v>19</v>
      </c>
      <c r="E997" t="s">
        <v>15</v>
      </c>
      <c r="F997">
        <v>18</v>
      </c>
      <c r="G997">
        <v>4472.99</v>
      </c>
      <c r="H997">
        <v>80513.820000000007</v>
      </c>
      <c r="I997">
        <f t="shared" si="60"/>
        <v>6</v>
      </c>
      <c r="J997" t="str">
        <f t="shared" si="61"/>
        <v>Jun</v>
      </c>
      <c r="K997">
        <f t="shared" si="62"/>
        <v>2</v>
      </c>
      <c r="L997" t="str">
        <f t="shared" si="63"/>
        <v>Mon</v>
      </c>
    </row>
    <row r="998" spans="1:12" x14ac:dyDescent="0.25">
      <c r="A998" s="1">
        <v>45714</v>
      </c>
      <c r="B998" t="s">
        <v>23</v>
      </c>
      <c r="C998" t="s">
        <v>9</v>
      </c>
      <c r="D998" t="s">
        <v>17</v>
      </c>
      <c r="E998" t="s">
        <v>15</v>
      </c>
      <c r="F998">
        <v>3</v>
      </c>
      <c r="G998">
        <v>953.88</v>
      </c>
      <c r="H998">
        <v>2861.64</v>
      </c>
      <c r="I998">
        <f t="shared" si="60"/>
        <v>2</v>
      </c>
      <c r="J998" t="str">
        <f t="shared" si="61"/>
        <v>Feb</v>
      </c>
      <c r="K998">
        <f t="shared" si="62"/>
        <v>4</v>
      </c>
      <c r="L998" t="str">
        <f t="shared" si="63"/>
        <v>Wed</v>
      </c>
    </row>
    <row r="999" spans="1:12" x14ac:dyDescent="0.25">
      <c r="A999" s="1">
        <v>45883</v>
      </c>
      <c r="B999" t="s">
        <v>40</v>
      </c>
      <c r="C999" t="s">
        <v>13</v>
      </c>
      <c r="D999" t="s">
        <v>17</v>
      </c>
      <c r="E999" t="s">
        <v>15</v>
      </c>
      <c r="F999">
        <v>6</v>
      </c>
      <c r="G999">
        <v>3691.7</v>
      </c>
      <c r="H999">
        <v>22150.2</v>
      </c>
      <c r="I999">
        <f t="shared" si="60"/>
        <v>8</v>
      </c>
      <c r="J999" t="str">
        <f t="shared" si="61"/>
        <v>Aug</v>
      </c>
      <c r="K999">
        <f t="shared" si="62"/>
        <v>5</v>
      </c>
      <c r="L999" t="str">
        <f t="shared" si="63"/>
        <v>Thu</v>
      </c>
    </row>
    <row r="1000" spans="1:12" x14ac:dyDescent="0.25">
      <c r="A1000" s="1">
        <v>45828</v>
      </c>
      <c r="B1000" t="s">
        <v>16</v>
      </c>
      <c r="C1000" t="s">
        <v>9</v>
      </c>
      <c r="D1000" t="s">
        <v>19</v>
      </c>
      <c r="E1000" t="s">
        <v>11</v>
      </c>
      <c r="F1000">
        <v>13</v>
      </c>
      <c r="G1000">
        <v>2270.79</v>
      </c>
      <c r="H1000">
        <v>29520.27</v>
      </c>
      <c r="I1000">
        <f t="shared" si="60"/>
        <v>6</v>
      </c>
      <c r="J1000" t="str">
        <f t="shared" si="61"/>
        <v>Jun</v>
      </c>
      <c r="K1000">
        <f t="shared" si="62"/>
        <v>6</v>
      </c>
      <c r="L1000" t="str">
        <f t="shared" si="63"/>
        <v>Fri</v>
      </c>
    </row>
    <row r="1001" spans="1:12" x14ac:dyDescent="0.25">
      <c r="A1001" s="1">
        <v>45857</v>
      </c>
      <c r="B1001" t="s">
        <v>39</v>
      </c>
      <c r="C1001" t="s">
        <v>9</v>
      </c>
      <c r="D1001" t="s">
        <v>14</v>
      </c>
      <c r="E1001" t="s">
        <v>11</v>
      </c>
      <c r="F1001">
        <v>19</v>
      </c>
      <c r="G1001">
        <v>16617.34</v>
      </c>
      <c r="H1001">
        <v>315729.46000000002</v>
      </c>
      <c r="I1001">
        <f t="shared" si="60"/>
        <v>7</v>
      </c>
      <c r="J1001" t="str">
        <f t="shared" si="61"/>
        <v>Jul</v>
      </c>
      <c r="K1001">
        <f t="shared" si="62"/>
        <v>7</v>
      </c>
      <c r="L1001" t="str">
        <f t="shared" si="63"/>
        <v>Sat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
  <sheetViews>
    <sheetView showGridLines="0" showRowColHeaders="0" zoomScale="91" zoomScaleNormal="91" workbookViewId="0"/>
  </sheetViews>
  <sheetFormatPr defaultRowHeight="15" x14ac:dyDescent="0.25"/>
  <cols>
    <col min="1" max="16384" width="9.14062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Pivot tables</vt:lpstr>
      <vt:lpstr>retail_sales_records</vt:lpstr>
      <vt:lpstr>Dashboard</vt:lpstr>
      <vt:lpstr>Sales_Amt</vt:lpstr>
      <vt:lpstr>Total_products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Untop</dc:creator>
  <cp:lastModifiedBy>sherifat adeshina</cp:lastModifiedBy>
  <dcterms:created xsi:type="dcterms:W3CDTF">2026-03-26T16:58:23Z</dcterms:created>
  <dcterms:modified xsi:type="dcterms:W3CDTF">2026-06-21T19:51:27Z</dcterms:modified>
</cp:coreProperties>
</file>